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niel.laranjo\Documents\GED_PROFISSIONAL\Docs\"/>
    </mc:Choice>
  </mc:AlternateContent>
  <xr:revisionPtr revIDLastSave="0" documentId="8_{47E3A848-3E00-4356-ADC5-4CDBD9BA6343}" xr6:coauthVersionLast="47" xr6:coauthVersionMax="47" xr10:uidLastSave="{00000000-0000-0000-0000-000000000000}"/>
  <bookViews>
    <workbookView xWindow="28680" yWindow="2610" windowWidth="21840" windowHeight="13020" xr2:uid="{01B28657-6C71-492A-81A2-30F08031C7A1}"/>
  </bookViews>
  <sheets>
    <sheet name="LDP" sheetId="1" r:id="rId1"/>
    <sheet name="MEDIÇÃO" sheetId="3" r:id="rId2"/>
  </sheets>
  <definedNames>
    <definedName name="_xlnm._FilterDatabase" localSheetId="0" hidden="1">LDP!$A$1:$L$2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G4" i="3"/>
  <c r="G5" i="3"/>
  <c r="G6" i="3"/>
  <c r="G7" i="3"/>
  <c r="G8" i="3"/>
  <c r="G9" i="3"/>
  <c r="G10" i="3"/>
  <c r="G11" i="3"/>
  <c r="G12" i="3"/>
  <c r="G13" i="3"/>
  <c r="G3" i="3"/>
  <c r="E3" i="3"/>
  <c r="D13" i="3"/>
  <c r="D12" i="3"/>
  <c r="D11" i="3"/>
  <c r="D10" i="3"/>
  <c r="D9" i="3"/>
  <c r="D8" i="3"/>
  <c r="D7" i="3"/>
  <c r="H7" i="3" s="1"/>
  <c r="D6" i="3"/>
  <c r="D5" i="3"/>
  <c r="D4" i="3"/>
  <c r="D3" i="3"/>
  <c r="H3" i="3" s="1"/>
  <c r="B13" i="3"/>
  <c r="B12" i="3"/>
  <c r="B11" i="3"/>
  <c r="B10" i="3"/>
  <c r="B9" i="3"/>
  <c r="B8" i="3"/>
  <c r="B7" i="3"/>
  <c r="B6" i="3"/>
  <c r="B5" i="3"/>
  <c r="B4" i="3"/>
  <c r="B3" i="3"/>
  <c r="C3" i="3" s="1"/>
  <c r="H21" i="3"/>
  <c r="G20" i="3"/>
  <c r="H20" i="3" s="1"/>
  <c r="A18" i="3"/>
  <c r="B17" i="3"/>
  <c r="J4" i="3" l="1"/>
  <c r="K4" i="3"/>
  <c r="J9" i="3"/>
  <c r="H5" i="3"/>
  <c r="K9" i="3"/>
  <c r="I9" i="3"/>
  <c r="J5" i="3"/>
  <c r="H10" i="3"/>
  <c r="K5" i="3"/>
  <c r="I10" i="3"/>
  <c r="C6" i="3"/>
  <c r="J10" i="3"/>
  <c r="L10" i="3" s="1"/>
  <c r="K10" i="3"/>
  <c r="K6" i="3"/>
  <c r="I7" i="3"/>
  <c r="I11" i="3"/>
  <c r="J11" i="3"/>
  <c r="K11" i="3"/>
  <c r="H12" i="3"/>
  <c r="L12" i="3" s="1"/>
  <c r="K7" i="3"/>
  <c r="I3" i="3"/>
  <c r="H8" i="3"/>
  <c r="J3" i="3"/>
  <c r="I8" i="3"/>
  <c r="K3" i="3"/>
  <c r="J8" i="3"/>
  <c r="H4" i="3"/>
  <c r="K8" i="3"/>
  <c r="I4" i="3"/>
  <c r="J6" i="3"/>
  <c r="H11" i="3"/>
  <c r="I12" i="3"/>
  <c r="J12" i="3"/>
  <c r="K12" i="3"/>
  <c r="H13" i="3"/>
  <c r="I13" i="3"/>
  <c r="J13" i="3"/>
  <c r="E14" i="3"/>
  <c r="K13" i="3"/>
  <c r="I6" i="3"/>
  <c r="C12" i="3"/>
  <c r="C5" i="3"/>
  <c r="D14" i="3"/>
  <c r="C7" i="3"/>
  <c r="F14" i="3"/>
  <c r="G14" i="3"/>
  <c r="C9" i="3"/>
  <c r="I5" i="3"/>
  <c r="C11" i="3"/>
  <c r="C13" i="3"/>
  <c r="C4" i="3"/>
  <c r="J7" i="3"/>
  <c r="H9" i="3"/>
  <c r="C8" i="3"/>
  <c r="C10" i="3"/>
  <c r="H6" i="3"/>
  <c r="L11" i="3" l="1"/>
  <c r="L5" i="3"/>
  <c r="L8" i="3"/>
  <c r="L4" i="3"/>
  <c r="L13" i="3"/>
  <c r="L3" i="3"/>
  <c r="K14" i="3"/>
  <c r="H14" i="3"/>
  <c r="L9" i="3"/>
  <c r="J14" i="3"/>
  <c r="C14" i="3"/>
  <c r="I14" i="3"/>
  <c r="L7" i="3"/>
  <c r="L6" i="3"/>
  <c r="L14" i="3" l="1"/>
  <c r="L15" i="3" s="1"/>
  <c r="L16" i="3" s="1"/>
</calcChain>
</file>

<file path=xl/sharedStrings.xml><?xml version="1.0" encoding="utf-8"?>
<sst xmlns="http://schemas.openxmlformats.org/spreadsheetml/2006/main" count="60" uniqueCount="56">
  <si>
    <t>TP25 - NAVIOS HANDY CLASSE 80</t>
  </si>
  <si>
    <t>BASICO</t>
  </si>
  <si>
    <t>Não Recebido</t>
  </si>
  <si>
    <t>Revisar</t>
  </si>
  <si>
    <t>Emitido</t>
  </si>
  <si>
    <t>I-CR-4880.00-1200-000-CZ1-001</t>
  </si>
  <si>
    <t>CONSTRUCAO - TESTES E COMISSIONAMENTOS</t>
  </si>
  <si>
    <t>COMMISSIONING PLAN</t>
  </si>
  <si>
    <t>Projeto</t>
  </si>
  <si>
    <t>Fase</t>
  </si>
  <si>
    <t>Código</t>
  </si>
  <si>
    <t>Revisão</t>
  </si>
  <si>
    <t>Disciplina</t>
  </si>
  <si>
    <t>Titulo</t>
  </si>
  <si>
    <t>Nº GRDT de Envio TP</t>
  </si>
  <si>
    <t>Nº PCF</t>
  </si>
  <si>
    <t>Data Emissão TP</t>
  </si>
  <si>
    <t>MA</t>
  </si>
  <si>
    <t>DE</t>
  </si>
  <si>
    <t>PT</t>
  </si>
  <si>
    <t>LI</t>
  </si>
  <si>
    <t>MC</t>
  </si>
  <si>
    <t>RL</t>
  </si>
  <si>
    <t>PR</t>
  </si>
  <si>
    <t>CR</t>
  </si>
  <si>
    <t>MD</t>
  </si>
  <si>
    <t>LD</t>
  </si>
  <si>
    <t>ET</t>
  </si>
  <si>
    <t>Tipo de Doc</t>
  </si>
  <si>
    <t>Status Emissão</t>
  </si>
  <si>
    <t>Total de 575 Docs</t>
  </si>
  <si>
    <t>Valor por Doc</t>
  </si>
  <si>
    <t>Item EAP</t>
  </si>
  <si>
    <t>1.1.1.1</t>
  </si>
  <si>
    <t>EMISSÃO DE PLANOS</t>
  </si>
  <si>
    <t>Total Geral</t>
  </si>
  <si>
    <t>Dolar $</t>
  </si>
  <si>
    <t>Real R$</t>
  </si>
  <si>
    <t>4 navios</t>
  </si>
  <si>
    <t>1 Navio</t>
  </si>
  <si>
    <t>Tipo de Docs</t>
  </si>
  <si>
    <t>Nº de Docs Por Tipo</t>
  </si>
  <si>
    <t>Valor Medição</t>
  </si>
  <si>
    <t>Emitir</t>
  </si>
  <si>
    <t>Valor Medir Emitidos</t>
  </si>
  <si>
    <t>Valor Medir Emitir</t>
  </si>
  <si>
    <t>Valor Medir Revisar</t>
  </si>
  <si>
    <t>Valor Não Medido</t>
  </si>
  <si>
    <t>Valor total Medir</t>
  </si>
  <si>
    <t>Reais R$</t>
  </si>
  <si>
    <t xml:space="preserve">Legenda </t>
  </si>
  <si>
    <t>Documentos Emitidos</t>
  </si>
  <si>
    <t>Documentos Recebido / Falta Emitir</t>
  </si>
  <si>
    <t xml:space="preserve">Documentos para Revisar e Emitir </t>
  </si>
  <si>
    <t>Documentos Não Recebidos</t>
  </si>
  <si>
    <t>Status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</si>
</sst>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5" formatCode="_-[$$-409]* #,##0.00_ ;_-[$$-409]* \-#,##0.00\ ;_-[$$-409]* &quot;-&quot;??_ ;_-@_ "/>
  </numFmts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7" fillId="0" borderId="0"/>
    <xf numFmtId="9" fontId="7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5" fontId="0" fillId="0" borderId="1" xfId="0" applyNumberFormat="1" applyBorder="1"/>
    <xf numFmtId="165" fontId="3" fillId="4" borderId="1" xfId="1" applyNumberFormat="1" applyFont="1" applyFill="1" applyBorder="1" applyAlignment="1">
      <alignment horizontal="center"/>
    </xf>
    <xf numFmtId="44" fontId="3" fillId="5" borderId="1" xfId="1" applyFont="1" applyFill="1" applyBorder="1" applyAlignment="1">
      <alignment horizontal="center"/>
    </xf>
    <xf numFmtId="44" fontId="3" fillId="0" borderId="0" xfId="1" applyFont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44" fontId="9" fillId="0" borderId="1" xfId="0" applyNumberFormat="1" applyFont="1" applyBorder="1"/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0" borderId="1" xfId="0" applyBorder="1"/>
    <xf numFmtId="44" fontId="9" fillId="0" borderId="0" xfId="0" applyNumberFormat="1" applyFont="1"/>
    <xf numFmtId="44" fontId="0" fillId="0" borderId="0" xfId="0" applyNumberFormat="1"/>
    <xf numFmtId="0" fontId="3" fillId="5" borderId="1" xfId="0" applyFont="1" applyFill="1" applyBorder="1" applyAlignment="1">
      <alignment horizontal="center"/>
    </xf>
    <xf numFmtId="44" fontId="3" fillId="5" borderId="1" xfId="1" applyFont="1" applyFill="1" applyBorder="1"/>
    <xf numFmtId="165" fontId="0" fillId="0" borderId="0" xfId="0" applyNumberFormat="1"/>
    <xf numFmtId="0" fontId="0" fillId="5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0" fillId="0" borderId="3" xfId="0" applyBorder="1"/>
    <xf numFmtId="0" fontId="3" fillId="10" borderId="1" xfId="0" applyFont="1" applyFill="1" applyBorder="1" applyAlignment="1">
      <alignment horizontal="center"/>
    </xf>
  </cellXfs>
  <cellStyles count="3">
    <cellStyle name="Moeda 2" xfId="1" xr:uid="{2ED84C72-E0F4-48CB-B558-F22FD9383E29}"/>
    <cellStyle name="Normal" xfId="0" builtinId="0"/>
    <cellStyle name="Porcentagem 2" xfId="2" xr:uid="{D59E91AD-4B8A-44E4-AADA-EAEB67F6B196}"/>
  </cellStyles>
  <dxfs count="9">
    <dxf>
      <font>
        <color rgb="FF000000"/>
      </font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94FA38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ont>
        <color rgb="FF000000"/>
      </font>
      <fill>
        <gradientFill degree="90">
          <stop position="0">
            <color rgb="FFFFFFCC"/>
          </stop>
          <stop position="1">
            <color rgb="FFFFFF00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theme="9" tint="0.59999389629810485"/>
          </stop>
        </gradientFill>
      </fill>
    </dxf>
    <dxf>
      <font>
        <color rgb="FF000000"/>
      </font>
      <fill>
        <gradientFill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62C1-44E7-4D45-92FE-121B8423D47A}">
  <sheetPr codeName="Planilha4">
    <tabColor rgb="FFFFFF00"/>
  </sheetPr>
  <dimension ref="A1:L2"/>
  <sheetViews>
    <sheetView showGridLines="0" tabSelected="1" workbookViewId="0">
      <selection activeCell="A3" sqref="A3:XFD490"/>
    </sheetView>
  </sheetViews>
  <sheetFormatPr defaultRowHeight="15" x14ac:dyDescent="0.25"/>
  <cols>
    <col min="1" max="1" width="32.42578125" style="10" customWidth="1"/>
    <col min="2" max="2" width="12.140625" style="10" customWidth="1"/>
    <col min="3" max="3" width="14" style="10" customWidth="1"/>
    <col min="4" max="5" width="32.42578125" style="10" customWidth="1"/>
    <col min="6" max="6" width="53.42578125" style="10" bestFit="1" customWidth="1"/>
    <col min="7" max="7" width="65" style="11" customWidth="1"/>
    <col min="8" max="8" width="16.28515625" style="10" customWidth="1"/>
    <col min="9" max="9" width="20.5703125" style="10" bestFit="1" customWidth="1"/>
    <col min="10" max="10" width="29" style="10" bestFit="1" customWidth="1"/>
    <col min="11" max="11" width="39.5703125" style="10" customWidth="1"/>
    <col min="12" max="12" width="13.140625" style="10" customWidth="1"/>
  </cols>
  <sheetData>
    <row r="1" spans="1:12" ht="30" x14ac:dyDescent="0.25">
      <c r="A1" s="1" t="s">
        <v>8</v>
      </c>
      <c r="B1" s="1" t="s">
        <v>9</v>
      </c>
      <c r="C1" s="1" t="s">
        <v>28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55</v>
      </c>
      <c r="I1" s="1" t="s">
        <v>29</v>
      </c>
      <c r="J1" s="1" t="s">
        <v>14</v>
      </c>
      <c r="K1" s="1" t="s">
        <v>15</v>
      </c>
      <c r="L1" s="1" t="s">
        <v>16</v>
      </c>
    </row>
    <row r="2" spans="1:12" ht="15.75" customHeight="1" x14ac:dyDescent="0.25">
      <c r="A2" s="2" t="s">
        <v>0</v>
      </c>
      <c r="B2" s="5" t="s">
        <v>1</v>
      </c>
      <c r="C2" s="6" t="s">
        <v>24</v>
      </c>
      <c r="D2" s="2" t="s">
        <v>5</v>
      </c>
      <c r="E2" s="2">
        <v>0</v>
      </c>
      <c r="F2" s="3" t="s">
        <v>6</v>
      </c>
      <c r="G2" s="8" t="s">
        <v>7</v>
      </c>
      <c r="H2" s="3" t="s">
        <v>2</v>
      </c>
      <c r="I2" s="4" t="s">
        <v>2</v>
      </c>
      <c r="J2" s="5"/>
      <c r="K2" s="7"/>
      <c r="L2" s="9"/>
    </row>
  </sheetData>
  <autoFilter ref="A1:L2" xr:uid="{01C662C1-44E7-4D45-92FE-121B8423D47A}"/>
  <conditionalFormatting sqref="A7:A425 A2:C6 B2:L425">
    <cfRule type="expression" dxfId="8" priority="115" stopIfTrue="1">
      <formula>$I2="Revisar"</formula>
    </cfRule>
  </conditionalFormatting>
  <conditionalFormatting sqref="A7:A425 A2:C6 B2:L425">
    <cfRule type="expression" dxfId="7" priority="116" stopIfTrue="1">
      <formula>$I2="Emitido"</formula>
    </cfRule>
    <cfRule type="expression" dxfId="6" priority="117" stopIfTrue="1">
      <formula>$I2="Emitir"</formula>
    </cfRule>
    <cfRule type="expression" dxfId="5" priority="118" stopIfTrue="1">
      <formula>$I2="Não Recebido"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7798-C990-49EB-B077-549FC7BC478C}">
  <sheetPr codeName="Planilha9">
    <tabColor rgb="FF92D050"/>
  </sheetPr>
  <dimension ref="A2:L26"/>
  <sheetViews>
    <sheetView showGridLines="0" workbookViewId="0">
      <selection activeCell="A17" sqref="A17"/>
    </sheetView>
  </sheetViews>
  <sheetFormatPr defaultRowHeight="15" x14ac:dyDescent="0.25"/>
  <cols>
    <col min="1" max="1" width="20.7109375" bestFit="1" customWidth="1"/>
    <col min="2" max="2" width="33" bestFit="1" customWidth="1"/>
    <col min="3" max="3" width="15.85546875" bestFit="1" customWidth="1"/>
    <col min="5" max="5" width="16.5703125" customWidth="1"/>
    <col min="6" max="6" width="13.140625" bestFit="1" customWidth="1"/>
    <col min="7" max="7" width="15.7109375" customWidth="1"/>
    <col min="8" max="8" width="19.5703125" bestFit="1" customWidth="1"/>
    <col min="9" max="9" width="17.28515625" bestFit="1" customWidth="1"/>
    <col min="10" max="10" width="13.140625" customWidth="1"/>
    <col min="11" max="11" width="13.7109375" customWidth="1"/>
    <col min="12" max="12" width="14.42578125" bestFit="1" customWidth="1"/>
    <col min="14" max="14" width="14.42578125" bestFit="1" customWidth="1"/>
  </cols>
  <sheetData>
    <row r="2" spans="1:12" ht="30" customHeight="1" x14ac:dyDescent="0.25">
      <c r="A2" s="21" t="s">
        <v>40</v>
      </c>
      <c r="B2" s="21" t="s">
        <v>41</v>
      </c>
      <c r="C2" s="21" t="s">
        <v>42</v>
      </c>
      <c r="D2" s="22" t="s">
        <v>4</v>
      </c>
      <c r="E2" s="23" t="s">
        <v>43</v>
      </c>
      <c r="F2" s="24" t="s">
        <v>3</v>
      </c>
      <c r="G2" s="25" t="s">
        <v>2</v>
      </c>
      <c r="H2" s="26" t="s">
        <v>44</v>
      </c>
      <c r="I2" s="23" t="s">
        <v>45</v>
      </c>
      <c r="J2" s="27" t="s">
        <v>46</v>
      </c>
      <c r="K2" s="28" t="s">
        <v>47</v>
      </c>
      <c r="L2" s="26" t="s">
        <v>48</v>
      </c>
    </row>
    <row r="3" spans="1:12" x14ac:dyDescent="0.25">
      <c r="A3" s="12" t="s">
        <v>24</v>
      </c>
      <c r="B3" s="12">
        <f>COUNTIFS(LDP!C:C,MEDIÇÃO!A3)</f>
        <v>1</v>
      </c>
      <c r="C3" s="14">
        <f t="shared" ref="C3:C13" si="0">B3*$B$17</f>
        <v>978.99515624999992</v>
      </c>
      <c r="D3" s="12">
        <f>COUNTIFS(LDP!C:C,MEDIÇÃO!A3,LDP!I:I,MEDIÇÃO!$D$2)</f>
        <v>0</v>
      </c>
      <c r="E3" s="12">
        <f>COUNTIFS(LDP!C:C,MEDIÇÃO!A3,LDP!I:I,MEDIÇÃO!$E$2)</f>
        <v>0</v>
      </c>
      <c r="F3" s="12">
        <f>COUNTIFS(LDP!C:C,MEDIÇÃO!A3,LDP!I:I,MEDIÇÃO!$F$2)</f>
        <v>0</v>
      </c>
      <c r="G3" s="12">
        <f>COUNTIFS(LDP!C:C,MEDIÇÃO!A3,LDP!I:I,MEDIÇÃO!$G$2)</f>
        <v>1</v>
      </c>
      <c r="H3" s="14">
        <f>D3*$B$17</f>
        <v>0</v>
      </c>
      <c r="I3" s="14">
        <f t="shared" ref="I3:I13" si="1">E3*$B$17</f>
        <v>0</v>
      </c>
      <c r="J3" s="14">
        <f t="shared" ref="J3:J13" si="2">F3*$B$17</f>
        <v>0</v>
      </c>
      <c r="K3" s="14">
        <f t="shared" ref="K3:K13" si="3">G3*$B$17</f>
        <v>978.99515624999992</v>
      </c>
      <c r="L3" s="14">
        <f>H3+I3+J3</f>
        <v>0</v>
      </c>
    </row>
    <row r="4" spans="1:12" x14ac:dyDescent="0.25">
      <c r="A4" s="12" t="s">
        <v>18</v>
      </c>
      <c r="B4" s="12">
        <f>COUNTIFS(LDP!C:C,MEDIÇÃO!A4)</f>
        <v>0</v>
      </c>
      <c r="C4" s="14">
        <f t="shared" si="0"/>
        <v>0</v>
      </c>
      <c r="D4" s="12">
        <f>COUNTIFS(LDP!C:C,MEDIÇÃO!A4,LDP!I:I,MEDIÇÃO!$D$2)</f>
        <v>0</v>
      </c>
      <c r="E4" s="12">
        <v>0</v>
      </c>
      <c r="F4" s="12">
        <v>0</v>
      </c>
      <c r="G4" s="12">
        <f>COUNTIFS(LDP!C:C,MEDIÇÃO!A4,LDP!I:I,MEDIÇÃO!$G$2)</f>
        <v>0</v>
      </c>
      <c r="H4" s="14">
        <f t="shared" ref="H4:H13" si="4">D4*$B$17</f>
        <v>0</v>
      </c>
      <c r="I4" s="14">
        <f t="shared" si="1"/>
        <v>0</v>
      </c>
      <c r="J4" s="14">
        <f t="shared" si="2"/>
        <v>0</v>
      </c>
      <c r="K4" s="14">
        <f t="shared" si="3"/>
        <v>0</v>
      </c>
      <c r="L4" s="14">
        <f t="shared" ref="L4:L12" si="5">H4+I4+J4</f>
        <v>0</v>
      </c>
    </row>
    <row r="5" spans="1:12" x14ac:dyDescent="0.25">
      <c r="A5" s="12" t="s">
        <v>27</v>
      </c>
      <c r="B5" s="12">
        <f>COUNTIFS(LDP!C:C,MEDIÇÃO!A5)</f>
        <v>0</v>
      </c>
      <c r="C5" s="14">
        <f t="shared" si="0"/>
        <v>0</v>
      </c>
      <c r="D5" s="12">
        <f>COUNTIFS(LDP!C:C,MEDIÇÃO!A5,LDP!I:I,MEDIÇÃO!$D$2)</f>
        <v>0</v>
      </c>
      <c r="E5" s="12">
        <v>0</v>
      </c>
      <c r="F5" s="12">
        <v>0</v>
      </c>
      <c r="G5" s="12">
        <f>COUNTIFS(LDP!C:C,MEDIÇÃO!A5,LDP!I:I,MEDIÇÃO!$G$2)</f>
        <v>0</v>
      </c>
      <c r="H5" s="14">
        <f t="shared" si="4"/>
        <v>0</v>
      </c>
      <c r="I5" s="14">
        <f t="shared" si="1"/>
        <v>0</v>
      </c>
      <c r="J5" s="14">
        <f t="shared" si="2"/>
        <v>0</v>
      </c>
      <c r="K5" s="14">
        <f t="shared" si="3"/>
        <v>0</v>
      </c>
      <c r="L5" s="14">
        <f t="shared" si="5"/>
        <v>0</v>
      </c>
    </row>
    <row r="6" spans="1:12" x14ac:dyDescent="0.25">
      <c r="A6" s="12" t="s">
        <v>26</v>
      </c>
      <c r="B6" s="12">
        <f>COUNTIFS(LDP!C:C,MEDIÇÃO!A6)</f>
        <v>0</v>
      </c>
      <c r="C6" s="14">
        <f t="shared" si="0"/>
        <v>0</v>
      </c>
      <c r="D6" s="12">
        <f>COUNTIFS(LDP!C:C,MEDIÇÃO!A6,LDP!I:I,MEDIÇÃO!$D$2)</f>
        <v>0</v>
      </c>
      <c r="E6" s="12">
        <v>0</v>
      </c>
      <c r="F6" s="12">
        <v>0</v>
      </c>
      <c r="G6" s="12">
        <f>COUNTIFS(LDP!C:C,MEDIÇÃO!A6,LDP!I:I,MEDIÇÃO!$G$2)</f>
        <v>0</v>
      </c>
      <c r="H6" s="14">
        <f t="shared" si="4"/>
        <v>0</v>
      </c>
      <c r="I6" s="14">
        <f t="shared" si="1"/>
        <v>0</v>
      </c>
      <c r="J6" s="14">
        <f t="shared" si="2"/>
        <v>0</v>
      </c>
      <c r="K6" s="14">
        <f t="shared" si="3"/>
        <v>0</v>
      </c>
      <c r="L6" s="14">
        <f t="shared" si="5"/>
        <v>0</v>
      </c>
    </row>
    <row r="7" spans="1:12" x14ac:dyDescent="0.25">
      <c r="A7" s="12" t="s">
        <v>20</v>
      </c>
      <c r="B7" s="12">
        <f>COUNTIFS(LDP!C:C,MEDIÇÃO!A7)</f>
        <v>0</v>
      </c>
      <c r="C7" s="14">
        <f t="shared" si="0"/>
        <v>0</v>
      </c>
      <c r="D7" s="12">
        <f>COUNTIFS(LDP!C:C,MEDIÇÃO!A7,LDP!I:I,MEDIÇÃO!$D$2)</f>
        <v>0</v>
      </c>
      <c r="E7" s="12">
        <v>0</v>
      </c>
      <c r="F7" s="12">
        <v>0</v>
      </c>
      <c r="G7" s="12">
        <f>COUNTIFS(LDP!C:C,MEDIÇÃO!A7,LDP!I:I,MEDIÇÃO!$G$2)</f>
        <v>0</v>
      </c>
      <c r="H7" s="14">
        <f t="shared" si="4"/>
        <v>0</v>
      </c>
      <c r="I7" s="14">
        <f t="shared" si="1"/>
        <v>0</v>
      </c>
      <c r="J7" s="14">
        <f t="shared" si="2"/>
        <v>0</v>
      </c>
      <c r="K7" s="14">
        <f t="shared" si="3"/>
        <v>0</v>
      </c>
      <c r="L7" s="14">
        <f t="shared" si="5"/>
        <v>0</v>
      </c>
    </row>
    <row r="8" spans="1:12" x14ac:dyDescent="0.25">
      <c r="A8" s="12" t="s">
        <v>17</v>
      </c>
      <c r="B8" s="12">
        <f>COUNTIFS(LDP!C:C,MEDIÇÃO!A8)</f>
        <v>0</v>
      </c>
      <c r="C8" s="14">
        <f t="shared" si="0"/>
        <v>0</v>
      </c>
      <c r="D8" s="12">
        <f>COUNTIFS(LDP!C:C,MEDIÇÃO!A8,LDP!I:I,MEDIÇÃO!$D$2)</f>
        <v>0</v>
      </c>
      <c r="E8" s="12">
        <v>0</v>
      </c>
      <c r="F8" s="12">
        <v>0</v>
      </c>
      <c r="G8" s="12">
        <f>COUNTIFS(LDP!C:C,MEDIÇÃO!A8,LDP!I:I,MEDIÇÃO!$G$2)</f>
        <v>0</v>
      </c>
      <c r="H8" s="14">
        <f t="shared" si="4"/>
        <v>0</v>
      </c>
      <c r="I8" s="14">
        <f t="shared" si="1"/>
        <v>0</v>
      </c>
      <c r="J8" s="14">
        <f t="shared" si="2"/>
        <v>0</v>
      </c>
      <c r="K8" s="14">
        <f t="shared" si="3"/>
        <v>0</v>
      </c>
      <c r="L8" s="14">
        <f t="shared" si="5"/>
        <v>0</v>
      </c>
    </row>
    <row r="9" spans="1:12" x14ac:dyDescent="0.25">
      <c r="A9" s="12" t="s">
        <v>21</v>
      </c>
      <c r="B9" s="12">
        <f>COUNTIFS(LDP!C:C,MEDIÇÃO!A9)</f>
        <v>0</v>
      </c>
      <c r="C9" s="14">
        <f t="shared" si="0"/>
        <v>0</v>
      </c>
      <c r="D9" s="12">
        <f>COUNTIFS(LDP!C:C,MEDIÇÃO!A9,LDP!I:I,MEDIÇÃO!$D$2)</f>
        <v>0</v>
      </c>
      <c r="E9" s="12">
        <v>0</v>
      </c>
      <c r="F9" s="12">
        <v>0</v>
      </c>
      <c r="G9" s="12">
        <f>COUNTIFS(LDP!C:C,MEDIÇÃO!A9,LDP!I:I,MEDIÇÃO!$G$2)</f>
        <v>0</v>
      </c>
      <c r="H9" s="14">
        <f t="shared" si="4"/>
        <v>0</v>
      </c>
      <c r="I9" s="14">
        <f t="shared" si="1"/>
        <v>0</v>
      </c>
      <c r="J9" s="14">
        <f t="shared" si="2"/>
        <v>0</v>
      </c>
      <c r="K9" s="14">
        <f t="shared" si="3"/>
        <v>0</v>
      </c>
      <c r="L9" s="14">
        <f t="shared" si="5"/>
        <v>0</v>
      </c>
    </row>
    <row r="10" spans="1:12" x14ac:dyDescent="0.25">
      <c r="A10" s="12" t="s">
        <v>25</v>
      </c>
      <c r="B10" s="12">
        <f>COUNTIFS(LDP!C:C,MEDIÇÃO!A10)</f>
        <v>0</v>
      </c>
      <c r="C10" s="14">
        <f t="shared" si="0"/>
        <v>0</v>
      </c>
      <c r="D10" s="12">
        <f>COUNTIFS(LDP!C:C,MEDIÇÃO!A10,LDP!I:I,MEDIÇÃO!$D$2)</f>
        <v>0</v>
      </c>
      <c r="E10" s="12">
        <v>0</v>
      </c>
      <c r="F10" s="12">
        <v>0</v>
      </c>
      <c r="G10" s="12">
        <f>COUNTIFS(LDP!C:C,MEDIÇÃO!A10,LDP!I:I,MEDIÇÃO!$G$2)</f>
        <v>0</v>
      </c>
      <c r="H10" s="14">
        <f t="shared" si="4"/>
        <v>0</v>
      </c>
      <c r="I10" s="14">
        <f t="shared" si="1"/>
        <v>0</v>
      </c>
      <c r="J10" s="14">
        <f t="shared" si="2"/>
        <v>0</v>
      </c>
      <c r="K10" s="14">
        <f t="shared" si="3"/>
        <v>0</v>
      </c>
      <c r="L10" s="14">
        <f t="shared" si="5"/>
        <v>0</v>
      </c>
    </row>
    <row r="11" spans="1:12" x14ac:dyDescent="0.25">
      <c r="A11" s="12" t="s">
        <v>23</v>
      </c>
      <c r="B11" s="12">
        <f>COUNTIFS(LDP!C:C,MEDIÇÃO!A11)</f>
        <v>0</v>
      </c>
      <c r="C11" s="14">
        <f t="shared" si="0"/>
        <v>0</v>
      </c>
      <c r="D11" s="12">
        <f>COUNTIFS(LDP!C:C,MEDIÇÃO!A11,LDP!I:I,MEDIÇÃO!$D$2)</f>
        <v>0</v>
      </c>
      <c r="E11" s="12">
        <v>0</v>
      </c>
      <c r="F11" s="12">
        <v>0</v>
      </c>
      <c r="G11" s="12">
        <f>COUNTIFS(LDP!C:C,MEDIÇÃO!A11,LDP!I:I,MEDIÇÃO!$G$2)</f>
        <v>0</v>
      </c>
      <c r="H11" s="14">
        <f t="shared" si="4"/>
        <v>0</v>
      </c>
      <c r="I11" s="14">
        <f t="shared" si="1"/>
        <v>0</v>
      </c>
      <c r="J11" s="14">
        <f t="shared" si="2"/>
        <v>0</v>
      </c>
      <c r="K11" s="14">
        <f t="shared" si="3"/>
        <v>0</v>
      </c>
      <c r="L11" s="14">
        <f t="shared" si="5"/>
        <v>0</v>
      </c>
    </row>
    <row r="12" spans="1:12" x14ac:dyDescent="0.25">
      <c r="A12" s="12" t="s">
        <v>19</v>
      </c>
      <c r="B12" s="12">
        <f>COUNTIFS(LDP!C:C,MEDIÇÃO!A12)</f>
        <v>0</v>
      </c>
      <c r="C12" s="14">
        <f t="shared" si="0"/>
        <v>0</v>
      </c>
      <c r="D12" s="12">
        <f>COUNTIFS(LDP!C:C,MEDIÇÃO!A12,LDP!I:I,MEDIÇÃO!$D$2)</f>
        <v>0</v>
      </c>
      <c r="E12" s="12">
        <v>0</v>
      </c>
      <c r="F12" s="12">
        <v>0</v>
      </c>
      <c r="G12" s="12">
        <f>COUNTIFS(LDP!C:C,MEDIÇÃO!A12,LDP!I:I,MEDIÇÃO!$G$2)</f>
        <v>0</v>
      </c>
      <c r="H12" s="14">
        <f t="shared" si="4"/>
        <v>0</v>
      </c>
      <c r="I12" s="14">
        <f t="shared" si="1"/>
        <v>0</v>
      </c>
      <c r="J12" s="14">
        <f t="shared" si="2"/>
        <v>0</v>
      </c>
      <c r="K12" s="14">
        <f t="shared" si="3"/>
        <v>0</v>
      </c>
      <c r="L12" s="14">
        <f t="shared" si="5"/>
        <v>0</v>
      </c>
    </row>
    <row r="13" spans="1:12" x14ac:dyDescent="0.25">
      <c r="A13" s="12" t="s">
        <v>22</v>
      </c>
      <c r="B13" s="12">
        <f>COUNTIFS(LDP!C:C,MEDIÇÃO!A13)</f>
        <v>0</v>
      </c>
      <c r="C13" s="14">
        <f t="shared" si="0"/>
        <v>0</v>
      </c>
      <c r="D13" s="12">
        <f>COUNTIFS(LDP!C:C,MEDIÇÃO!A13,LDP!I:I,MEDIÇÃO!$D$2)</f>
        <v>0</v>
      </c>
      <c r="E13" s="12">
        <v>0</v>
      </c>
      <c r="F13" s="12">
        <v>0</v>
      </c>
      <c r="G13" s="12">
        <f>COUNTIFS(LDP!C:C,MEDIÇÃO!A13,LDP!I:I,MEDIÇÃO!$G$2)</f>
        <v>0</v>
      </c>
      <c r="H13" s="14">
        <f t="shared" si="4"/>
        <v>0</v>
      </c>
      <c r="I13" s="14">
        <f t="shared" si="1"/>
        <v>0</v>
      </c>
      <c r="J13" s="14">
        <f t="shared" si="2"/>
        <v>0</v>
      </c>
      <c r="K13" s="14">
        <f t="shared" si="3"/>
        <v>0</v>
      </c>
      <c r="L13" s="14">
        <f>H13+I13+J13</f>
        <v>0</v>
      </c>
    </row>
    <row r="14" spans="1:12" x14ac:dyDescent="0.25">
      <c r="A14" s="13" t="s">
        <v>35</v>
      </c>
      <c r="B14" s="13">
        <v>576</v>
      </c>
      <c r="C14" s="15">
        <f t="shared" ref="C14:L14" si="6">SUM(C3:C13)</f>
        <v>978.99515624999992</v>
      </c>
      <c r="D14" s="13">
        <f t="shared" si="6"/>
        <v>0</v>
      </c>
      <c r="E14" s="13">
        <f t="shared" si="6"/>
        <v>0</v>
      </c>
      <c r="F14" s="13">
        <f>SUM(F3:F13)</f>
        <v>0</v>
      </c>
      <c r="G14" s="13">
        <f t="shared" si="6"/>
        <v>1</v>
      </c>
      <c r="H14" s="15">
        <f t="shared" si="6"/>
        <v>0</v>
      </c>
      <c r="I14" s="15">
        <f t="shared" si="6"/>
        <v>0</v>
      </c>
      <c r="J14" s="15">
        <f t="shared" si="6"/>
        <v>0</v>
      </c>
      <c r="K14" s="15">
        <f t="shared" si="6"/>
        <v>978.99515624999992</v>
      </c>
      <c r="L14" s="15">
        <f t="shared" si="6"/>
        <v>0</v>
      </c>
    </row>
    <row r="15" spans="1:12" x14ac:dyDescent="0.25">
      <c r="G15" s="30"/>
      <c r="H15" s="30"/>
      <c r="I15" s="30"/>
      <c r="K15" s="21" t="s">
        <v>36</v>
      </c>
      <c r="L15" s="15">
        <f>L14</f>
        <v>0</v>
      </c>
    </row>
    <row r="16" spans="1:12" x14ac:dyDescent="0.25">
      <c r="A16" s="13" t="s">
        <v>30</v>
      </c>
      <c r="B16" s="13" t="s">
        <v>31</v>
      </c>
      <c r="C16" s="31"/>
      <c r="G16" s="39" t="s">
        <v>32</v>
      </c>
      <c r="H16" s="40"/>
      <c r="K16" s="32" t="s">
        <v>49</v>
      </c>
      <c r="L16" s="33">
        <f>L15*5.76</f>
        <v>0</v>
      </c>
    </row>
    <row r="17" spans="1:12" x14ac:dyDescent="0.25">
      <c r="A17" s="15">
        <v>563901.21</v>
      </c>
      <c r="B17" s="15">
        <f>A17/B14</f>
        <v>978.99515624999992</v>
      </c>
      <c r="G17" s="18" t="s">
        <v>33</v>
      </c>
      <c r="H17" s="19" t="s">
        <v>34</v>
      </c>
    </row>
    <row r="18" spans="1:12" x14ac:dyDescent="0.25">
      <c r="A18" s="16">
        <f>A17*5.76</f>
        <v>3248070.9695999995</v>
      </c>
      <c r="B18" s="17"/>
      <c r="L18" s="34"/>
    </row>
    <row r="19" spans="1:12" x14ac:dyDescent="0.25">
      <c r="G19" s="13" t="s">
        <v>36</v>
      </c>
      <c r="H19" s="13" t="s">
        <v>37</v>
      </c>
    </row>
    <row r="20" spans="1:12" x14ac:dyDescent="0.25">
      <c r="F20" s="13" t="s">
        <v>38</v>
      </c>
      <c r="G20" s="15">
        <f>G21*4</f>
        <v>278000000</v>
      </c>
      <c r="H20" s="20">
        <f>G20*5.76</f>
        <v>1601280000</v>
      </c>
      <c r="L20" s="31"/>
    </row>
    <row r="21" spans="1:12" x14ac:dyDescent="0.25">
      <c r="F21" s="13" t="s">
        <v>39</v>
      </c>
      <c r="G21" s="15">
        <v>69500000</v>
      </c>
      <c r="H21" s="20">
        <f>G21*5.76</f>
        <v>400320000</v>
      </c>
    </row>
    <row r="22" spans="1:12" x14ac:dyDescent="0.25">
      <c r="A22" s="41" t="s">
        <v>50</v>
      </c>
      <c r="B22" s="40"/>
    </row>
    <row r="23" spans="1:12" x14ac:dyDescent="0.25">
      <c r="A23" s="35"/>
      <c r="B23" s="29" t="s">
        <v>51</v>
      </c>
    </row>
    <row r="24" spans="1:12" x14ac:dyDescent="0.25">
      <c r="A24" s="36"/>
      <c r="B24" s="29" t="s">
        <v>52</v>
      </c>
    </row>
    <row r="25" spans="1:12" x14ac:dyDescent="0.25">
      <c r="A25" s="37"/>
      <c r="B25" s="29" t="s">
        <v>53</v>
      </c>
    </row>
    <row r="26" spans="1:12" x14ac:dyDescent="0.25">
      <c r="A26" s="38"/>
      <c r="B26" s="29" t="s">
        <v>54</v>
      </c>
    </row>
  </sheetData>
  <mergeCells count="2">
    <mergeCell ref="G16:H16"/>
    <mergeCell ref="A22:B22"/>
  </mergeCells>
  <conditionalFormatting sqref="A26">
    <cfRule type="expression" dxfId="4" priority="1" stopIfTrue="1">
      <formula>$F26="Não Recebido"</formula>
    </cfRule>
    <cfRule type="expression" dxfId="3" priority="2" stopIfTrue="1">
      <formula>$F26="Reemitir"</formula>
    </cfRule>
    <cfRule type="expression" dxfId="2" priority="3" stopIfTrue="1">
      <formula>$F26="Emitir"</formula>
    </cfRule>
    <cfRule type="expression" dxfId="1" priority="4" stopIfTrue="1">
      <formula>$F26="Emitido"</formula>
    </cfRule>
    <cfRule type="expression" dxfId="0" priority="5" stopIfTrue="1">
      <formula>$F26="Solicitar TP"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LDP</vt:lpstr>
      <vt:lpstr>MEDIÇÃO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ALVES LARANJO</dc:creator>
  <cp:lastModifiedBy>DANIEL ALVES LARANJO</cp:lastModifiedBy>
  <dcterms:created xsi:type="dcterms:W3CDTF">2025-11-13T16:10:57Z</dcterms:created>
  <dcterms:modified xsi:type="dcterms:W3CDTF">2025-12-11T17:13:34Z</dcterms:modified>
</cp:coreProperties>
</file>