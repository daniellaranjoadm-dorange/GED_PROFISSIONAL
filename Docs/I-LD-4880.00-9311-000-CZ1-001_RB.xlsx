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aniel.laranjo\Documents\GED_PROFISSIONAL\Docs\"/>
    </mc:Choice>
  </mc:AlternateContent>
  <xr:revisionPtr revIDLastSave="0" documentId="8_{C96CA9D1-9383-457F-8262-1453C3D986AC}" xr6:coauthVersionLast="47" xr6:coauthVersionMax="47" xr10:uidLastSave="{00000000-0000-0000-0000-000000000000}"/>
  <bookViews>
    <workbookView xWindow="28680" yWindow="2610" windowWidth="21840" windowHeight="13020" xr2:uid="{01B28657-6C71-492A-81A2-30F08031C7A1}"/>
  </bookViews>
  <sheets>
    <sheet name="LDP" sheetId="1" r:id="rId1"/>
    <sheet name="MEDIÇÃO" sheetId="3" r:id="rId2"/>
  </sheets>
  <definedNames>
    <definedName name="_xlnm._FilterDatabase" localSheetId="0" hidden="1">LDP!$A$1:$L$26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G4" i="3"/>
  <c r="G5" i="3"/>
  <c r="G6" i="3"/>
  <c r="G7" i="3"/>
  <c r="G8" i="3"/>
  <c r="G9" i="3"/>
  <c r="G10" i="3"/>
  <c r="G11" i="3"/>
  <c r="G12" i="3"/>
  <c r="G13" i="3"/>
  <c r="G3" i="3"/>
  <c r="E3" i="3"/>
  <c r="D13" i="3"/>
  <c r="D12" i="3"/>
  <c r="D11" i="3"/>
  <c r="D10" i="3"/>
  <c r="D9" i="3"/>
  <c r="D8" i="3"/>
  <c r="D7" i="3"/>
  <c r="H7" i="3" s="1"/>
  <c r="D6" i="3"/>
  <c r="D5" i="3"/>
  <c r="D4" i="3"/>
  <c r="D3" i="3"/>
  <c r="H3" i="3" s="1"/>
  <c r="B13" i="3"/>
  <c r="B12" i="3"/>
  <c r="B11" i="3"/>
  <c r="B10" i="3"/>
  <c r="B9" i="3"/>
  <c r="B8" i="3"/>
  <c r="B7" i="3"/>
  <c r="B6" i="3"/>
  <c r="B5" i="3"/>
  <c r="B4" i="3"/>
  <c r="B3" i="3"/>
  <c r="C3" i="3" s="1"/>
  <c r="H21" i="3"/>
  <c r="G20" i="3"/>
  <c r="H20" i="3" s="1"/>
  <c r="A18" i="3"/>
  <c r="B17" i="3"/>
  <c r="J4" i="3" l="1"/>
  <c r="K4" i="3"/>
  <c r="J9" i="3"/>
  <c r="H5" i="3"/>
  <c r="K9" i="3"/>
  <c r="I9" i="3"/>
  <c r="J5" i="3"/>
  <c r="H10" i="3"/>
  <c r="K5" i="3"/>
  <c r="I10" i="3"/>
  <c r="C6" i="3"/>
  <c r="J10" i="3"/>
  <c r="L10" i="3" s="1"/>
  <c r="K10" i="3"/>
  <c r="K6" i="3"/>
  <c r="I7" i="3"/>
  <c r="I11" i="3"/>
  <c r="J11" i="3"/>
  <c r="K11" i="3"/>
  <c r="H12" i="3"/>
  <c r="L12" i="3" s="1"/>
  <c r="K7" i="3"/>
  <c r="I3" i="3"/>
  <c r="H8" i="3"/>
  <c r="J3" i="3"/>
  <c r="I8" i="3"/>
  <c r="K3" i="3"/>
  <c r="J8" i="3"/>
  <c r="H4" i="3"/>
  <c r="K8" i="3"/>
  <c r="I4" i="3"/>
  <c r="J6" i="3"/>
  <c r="H11" i="3"/>
  <c r="I12" i="3"/>
  <c r="J12" i="3"/>
  <c r="K12" i="3"/>
  <c r="H13" i="3"/>
  <c r="I13" i="3"/>
  <c r="J13" i="3"/>
  <c r="E14" i="3"/>
  <c r="K13" i="3"/>
  <c r="I6" i="3"/>
  <c r="C12" i="3"/>
  <c r="C5" i="3"/>
  <c r="D14" i="3"/>
  <c r="C7" i="3"/>
  <c r="F14" i="3"/>
  <c r="G14" i="3"/>
  <c r="C9" i="3"/>
  <c r="I5" i="3"/>
  <c r="C11" i="3"/>
  <c r="C13" i="3"/>
  <c r="C4" i="3"/>
  <c r="J7" i="3"/>
  <c r="H9" i="3"/>
  <c r="C8" i="3"/>
  <c r="C10" i="3"/>
  <c r="H6" i="3"/>
  <c r="L11" i="3" l="1"/>
  <c r="L5" i="3"/>
  <c r="L8" i="3"/>
  <c r="L4" i="3"/>
  <c r="L13" i="3"/>
  <c r="L3" i="3"/>
  <c r="K14" i="3"/>
  <c r="H14" i="3"/>
  <c r="L9" i="3"/>
  <c r="J14" i="3"/>
  <c r="C14" i="3"/>
  <c r="I14" i="3"/>
  <c r="L7" i="3"/>
  <c r="L6" i="3"/>
  <c r="L14" i="3" l="1"/>
  <c r="L15" i="3" s="1"/>
  <c r="L16" i="3" s="1"/>
</calcChain>
</file>

<file path=xl/sharedStrings.xml><?xml version="1.0" encoding="utf-8"?>
<sst xmlns="http://schemas.openxmlformats.org/spreadsheetml/2006/main" count="327" uniqueCount="167">
  <si>
    <t>TP25 - NAVIOS HANDY CLASSE 80</t>
  </si>
  <si>
    <t>BASICO</t>
  </si>
  <si>
    <t>Não Recebido</t>
  </si>
  <si>
    <t>NAVEGACAO</t>
  </si>
  <si>
    <t>ELETRICA</t>
  </si>
  <si>
    <t>MAQUINAS</t>
  </si>
  <si>
    <t>I-PT-4880.00-0376-150-CZ1-001</t>
  </si>
  <si>
    <t>TECHNICAL PROPOSAL FOR BILGE WATER SEPARATOR</t>
  </si>
  <si>
    <t>Revisar</t>
  </si>
  <si>
    <t>Emitido</t>
  </si>
  <si>
    <t>GRD-018</t>
  </si>
  <si>
    <t>21/10/2025</t>
  </si>
  <si>
    <t>EQUIPAMENTOS E ACESSORIOS DE CASCO</t>
  </si>
  <si>
    <t>ESTRUTURA E PROTECAO ANTICORROSIVA</t>
  </si>
  <si>
    <t>CARGA E LASTRO</t>
  </si>
  <si>
    <t>CONSTRUCAO - TESTES E COMISSIONAMENTOS</t>
  </si>
  <si>
    <t>I-DE-4880.00-2300-000-CZ1-001</t>
  </si>
  <si>
    <t>BLOCK DIVISION ARRANGEMENT</t>
  </si>
  <si>
    <t>GRD-002</t>
  </si>
  <si>
    <t>13/10/2025</t>
  </si>
  <si>
    <t>I-PT-4880.00-3345-100-CZ1-002</t>
  </si>
  <si>
    <t>TECHNICAL PROPOSAL FOR WINDLASS AND MOORING WINCHES HYDRAULIC SYSTEM</t>
  </si>
  <si>
    <t>GRD-007</t>
  </si>
  <si>
    <t>15/10/2025</t>
  </si>
  <si>
    <t>AUTOMACAO E INSTRUMENTACAO</t>
  </si>
  <si>
    <t>I-PT-4880.00-3500-400-CZ1-001</t>
  </si>
  <si>
    <t>TECHNICAL PROPOSAL FOR CARGO/BALLAST TANKS PORTABLE GAUGING/SAMPLING SYSTEM</t>
  </si>
  <si>
    <t>PROJETO GERAL</t>
  </si>
  <si>
    <t>I-PT-4880.00-4034-300-CZ1-001</t>
  </si>
  <si>
    <t>TECHNICAL PROPOSAL FOR DEEPWELL CARGO AND BALLAST PUMP SYSTEM (PACKAGE)</t>
  </si>
  <si>
    <t>I-PT-4880.00-4134-430-CZ1-001</t>
  </si>
  <si>
    <t>TECHNICAL PROPOSAL FOR BALLAST WATER TREATMENT UNIT</t>
  </si>
  <si>
    <t>GRD-020</t>
  </si>
  <si>
    <t>23/10/2025</t>
  </si>
  <si>
    <t>I-PT-4880.00-4300-000-CZ1-001</t>
  </si>
  <si>
    <t>TECHNICAL PROPOSAL FOR INERT GAS SYSTEM</t>
  </si>
  <si>
    <t>GRD-008</t>
  </si>
  <si>
    <t>HVAC - VENTILACAO</t>
  </si>
  <si>
    <t>I-PT-4880.00-5137-000-CZ1-001</t>
  </si>
  <si>
    <t>TECHNICAL PROPOSAL FOR STEERING GEAR AND RUDDER CARRIER</t>
  </si>
  <si>
    <t>GRD-012</t>
  </si>
  <si>
    <t>17/10/2025</t>
  </si>
  <si>
    <t>I-PT-4880.00-5101-110-CZ1-001</t>
  </si>
  <si>
    <t>TECHNICAL PROPOSAL FOR MAIN ENGINE</t>
  </si>
  <si>
    <t>GRD-001</t>
  </si>
  <si>
    <t>I-PT-4880.00-5101-900-CZ1-001</t>
  </si>
  <si>
    <t>TECHNICAL PROPOSAL FOR PROPULSION REMOTE CONTROL SYSTEM</t>
  </si>
  <si>
    <t>GRD-010</t>
  </si>
  <si>
    <t>I-PT-4880.00-5101-900-CZ1-002</t>
  </si>
  <si>
    <t>TECHNICAL PROPOSAL FOR SPEED CONTROL SYSTEM</t>
  </si>
  <si>
    <t>GRD-023</t>
  </si>
  <si>
    <t>24/10/2025</t>
  </si>
  <si>
    <t>I-PT-4880.00-5200-000-CZ1-001</t>
  </si>
  <si>
    <t>TECHNICAL PROPOSAL FOR BOILER/ THERMAL OIL HEATER</t>
  </si>
  <si>
    <t>I-PT-4880.00-5300-000-CZ1-003</t>
  </si>
  <si>
    <t>TECHNICAL PROPOSAL FOR FO/DO BOOSTER UNIT FOR ME/GENSET</t>
  </si>
  <si>
    <t>GRD-013</t>
  </si>
  <si>
    <t>I-PT-4880.00-5300-000-CZ1-004</t>
  </si>
  <si>
    <t>TECHNICAL PROPOSAL FOR PURIFIERS (FO/DO/LO)</t>
  </si>
  <si>
    <t>GRD-014</t>
  </si>
  <si>
    <t>20/10/2025</t>
  </si>
  <si>
    <t>I-PT-4880.00-5522-100-CZ1-001</t>
  </si>
  <si>
    <t>TECHNICAL PROPOSAL FOR FRESH WATER GENERATOR</t>
  </si>
  <si>
    <t>GRD-015</t>
  </si>
  <si>
    <t>I-PT-4880.00-5562-000-CZ1-001</t>
  </si>
  <si>
    <t>TECHNICAL PROPOSAL FOR E/R COOLERS AND HEATERS</t>
  </si>
  <si>
    <t>GRD-016</t>
  </si>
  <si>
    <t>I-PT-4880.00-5650-000-CZ1-001</t>
  </si>
  <si>
    <t>TECHNICAL PROPOSAL FOR FANS AND EXHAUST FOR ACCOMMODATION AND COMPARTMENTS</t>
  </si>
  <si>
    <t>GRD-017</t>
  </si>
  <si>
    <t>I-PT-4880.00-5700-000-CZ1-001</t>
  </si>
  <si>
    <t>TECHNICAL PROPOSAL FOR AIR COMPRESSORS</t>
  </si>
  <si>
    <t>GRD-019</t>
  </si>
  <si>
    <t>I-PT-4880.00-7007-110-CZ1-001</t>
  </si>
  <si>
    <t>TECHNICAL PROPOSAL FOR DIESEL GENERATOR SETS</t>
  </si>
  <si>
    <t>GRD-011</t>
  </si>
  <si>
    <t>I-PT-4880.00-7109-200-CZ1-001</t>
  </si>
  <si>
    <t xml:space="preserve">TECHNICAL PROPOSAL FOR SWITCHBOARDS </t>
  </si>
  <si>
    <t>GRD-024</t>
  </si>
  <si>
    <t>29/10/2025</t>
  </si>
  <si>
    <t>I-PT-4880.00-7338-200-CZ1-001</t>
  </si>
  <si>
    <t>TECHNICAL PROPOSAL FOR NAVIGATION SYSTEMS</t>
  </si>
  <si>
    <t>GRD-009</t>
  </si>
  <si>
    <t>I-PT-4880.00-8000-000-CZ1-002</t>
  </si>
  <si>
    <t>TECHNICAL PROPOSAL FOR INTEGRATED CONTROL AND SUPERVISION SYSTEM</t>
  </si>
  <si>
    <t>GRD-022</t>
  </si>
  <si>
    <t>I-ET-4880.00-9311-000-CZ1-001</t>
  </si>
  <si>
    <t>CONTRACT SPECIFICATION</t>
  </si>
  <si>
    <t>PR-4880.00-9311-000-CZ1-001</t>
  </si>
  <si>
    <t>PLANO DE CONTRUÇÃO</t>
  </si>
  <si>
    <t>GRD-005</t>
  </si>
  <si>
    <t>PR-4880.00-1200-000-CZ1-004</t>
  </si>
  <si>
    <t>PLANO DE INSPEÇÃO E TESTES ( PIT )</t>
  </si>
  <si>
    <t>GRD-006</t>
  </si>
  <si>
    <t>Projeto</t>
  </si>
  <si>
    <t>Fase</t>
  </si>
  <si>
    <t>Código</t>
  </si>
  <si>
    <t>Revisão</t>
  </si>
  <si>
    <t>Disciplina</t>
  </si>
  <si>
    <t>Titulo</t>
  </si>
  <si>
    <t>Nº GRDT de Envio TP</t>
  </si>
  <si>
    <t>Nº PCF</t>
  </si>
  <si>
    <t>Data Emissão TP</t>
  </si>
  <si>
    <t>MA</t>
  </si>
  <si>
    <t>DE</t>
  </si>
  <si>
    <t>PT</t>
  </si>
  <si>
    <t>LI</t>
  </si>
  <si>
    <t>MC</t>
  </si>
  <si>
    <t>RL</t>
  </si>
  <si>
    <t>PR</t>
  </si>
  <si>
    <t>CR</t>
  </si>
  <si>
    <t>MD</t>
  </si>
  <si>
    <t>LD</t>
  </si>
  <si>
    <t>ET</t>
  </si>
  <si>
    <t>PCF-I-PT-4880.00-3345-100-CZ1-002</t>
  </si>
  <si>
    <t>PCF-I-PT-4880.00-3500-400-CZ1-001</t>
  </si>
  <si>
    <t>PCF-I-PT-4880.00-4034-300-CZ1-001</t>
  </si>
  <si>
    <t>PCF-I-PT-4880.00-4134-430-CZ1-001</t>
  </si>
  <si>
    <t>PCF-I-PT-4880.00-4300-000-CZ1-001</t>
  </si>
  <si>
    <t>PCF-I-PT-4880.00-5137-000-CZ1-001</t>
  </si>
  <si>
    <t>PCF-I-PT-4880.00-5101-110-CZ1-001</t>
  </si>
  <si>
    <t>PCF-I-PT-4880.00-5101-900-CZ1-001</t>
  </si>
  <si>
    <t>PCF-I-PT-4880.00-5101-900-CZ1-002</t>
  </si>
  <si>
    <t>PCF-I-PT-4880.00-5200-000-CZ1-001</t>
  </si>
  <si>
    <t>PCF-I-PT-4880.00-5300-000-CZ1-003</t>
  </si>
  <si>
    <t>PCF-I-PT-4880.00-5300-000-CZ1-004</t>
  </si>
  <si>
    <t>PCF-I-PT-4880.00-5522-100-CZ1-001</t>
  </si>
  <si>
    <t>PCF-I-PT-4880.00-5562-000-CZ1-001</t>
  </si>
  <si>
    <t>PCF-I-PT-4880.00-5650-000-CZ1-001</t>
  </si>
  <si>
    <t>PCF-I-PT-4880.00-5700-000-CZ1-001</t>
  </si>
  <si>
    <t>PCF-I-PT-4880.00-7007-110-CZ1-001</t>
  </si>
  <si>
    <t>PCF-I-PT-4880.00-7109-200-CZ1-001</t>
  </si>
  <si>
    <t>PCF-I-PT-4880.00-7338-200-CZ1-001</t>
  </si>
  <si>
    <t>PCF-I-PT-4880.00-8000-000-CZ1-002</t>
  </si>
  <si>
    <t>PCF-I-ET-4880.00-9311-000-CZ1-001</t>
  </si>
  <si>
    <t>PCF-PR-4880.00-9311-000-CZ1-001</t>
  </si>
  <si>
    <t>PCF-PR-4880.00-1200-000-CZ1-004</t>
  </si>
  <si>
    <t>PCF-PCF-I-PT-4880.00-0376-150-CZ1-001</t>
  </si>
  <si>
    <t>PCF-PCF-I-DE-4880.00-2300-000-CZ1-001</t>
  </si>
  <si>
    <t>Tipo de Doc</t>
  </si>
  <si>
    <t>Status Emissão</t>
  </si>
  <si>
    <t>Total de 575 Docs</t>
  </si>
  <si>
    <t>Valor por Doc</t>
  </si>
  <si>
    <t>Item EAP</t>
  </si>
  <si>
    <t>1.1.1.1</t>
  </si>
  <si>
    <t>EMISSÃO DE PLANOS</t>
  </si>
  <si>
    <t>Total Geral</t>
  </si>
  <si>
    <t>Dolar $</t>
  </si>
  <si>
    <t>Real R$</t>
  </si>
  <si>
    <t>4 navios</t>
  </si>
  <si>
    <t>1 Navio</t>
  </si>
  <si>
    <t>Tipo de Docs</t>
  </si>
  <si>
    <t>Nº de Docs Por Tipo</t>
  </si>
  <si>
    <t>Valor Medição</t>
  </si>
  <si>
    <t>Emitir</t>
  </si>
  <si>
    <t>Valor Medir Emitidos</t>
  </si>
  <si>
    <t>Valor Medir Emitir</t>
  </si>
  <si>
    <t>Valor Medir Revisar</t>
  </si>
  <si>
    <t>Valor Não Medido</t>
  </si>
  <si>
    <t>Valor total Medir</t>
  </si>
  <si>
    <t>Reais R$</t>
  </si>
  <si>
    <t xml:space="preserve">Legenda </t>
  </si>
  <si>
    <t>Documentos Emitidos</t>
  </si>
  <si>
    <t>Documentos Recebido / Falta Emitir</t>
  </si>
  <si>
    <t xml:space="preserve">Documentos para Revisar e Emitir </t>
  </si>
  <si>
    <t>Documentos Não Recebidos</t>
  </si>
  <si>
    <t>Status Documento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</si>
</sst>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yyyy\-mm\-dd;@"/>
    <numFmt numFmtId="165" formatCode="_-[$$-409]* #,##0.00_ ;_-[$$-409]* \-#,##0.00\ ;_-[$$-409]* &quot;-&quot;??_ ;_-@_ "/>
  </numFmts>
  <fonts count="10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sz val="12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0000"/>
        <bgColor theme="4" tint="0.79998168889431442"/>
      </patternFill>
    </fill>
    <fill>
      <patternFill patternType="solid">
        <fgColor rgb="FFFFC000"/>
        <bgColor theme="4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44" fontId="7" fillId="0" borderId="0"/>
    <xf numFmtId="9" fontId="7" fillId="0" borderId="0"/>
  </cellStyleXfs>
  <cellXfs count="5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0" xfId="0" applyFont="1"/>
    <xf numFmtId="0" fontId="6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0" borderId="1" xfId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wrapText="1"/>
    </xf>
    <xf numFmtId="0" fontId="5" fillId="3" borderId="1" xfId="0" applyFont="1" applyFill="1" applyBorder="1" applyAlignment="1">
      <alignment horizontal="center" wrapText="1"/>
    </xf>
    <xf numFmtId="0" fontId="4" fillId="0" borderId="0" xfId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165" fontId="0" fillId="0" borderId="1" xfId="0" applyNumberFormat="1" applyBorder="1"/>
    <xf numFmtId="165" fontId="3" fillId="6" borderId="1" xfId="2" applyNumberFormat="1" applyFont="1" applyFill="1" applyBorder="1" applyAlignment="1">
      <alignment horizontal="center"/>
    </xf>
    <xf numFmtId="44" fontId="3" fillId="7" borderId="1" xfId="2" applyFont="1" applyFill="1" applyBorder="1" applyAlignment="1">
      <alignment horizontal="center"/>
    </xf>
    <xf numFmtId="44" fontId="3" fillId="0" borderId="0" xfId="2" applyFont="1"/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44" fontId="9" fillId="0" borderId="1" xfId="0" applyNumberFormat="1" applyFont="1" applyBorder="1"/>
    <xf numFmtId="0" fontId="3" fillId="6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0" fillId="0" borderId="1" xfId="0" applyBorder="1"/>
    <xf numFmtId="44" fontId="9" fillId="0" borderId="0" xfId="0" applyNumberFormat="1" applyFont="1"/>
    <xf numFmtId="44" fontId="0" fillId="0" borderId="0" xfId="0" applyNumberFormat="1"/>
    <xf numFmtId="0" fontId="3" fillId="7" borderId="1" xfId="0" applyFont="1" applyFill="1" applyBorder="1" applyAlignment="1">
      <alignment horizontal="center"/>
    </xf>
    <xf numFmtId="44" fontId="3" fillId="7" borderId="1" xfId="2" applyFont="1" applyFill="1" applyBorder="1"/>
    <xf numFmtId="165" fontId="0" fillId="0" borderId="0" xfId="0" applyNumberFormat="1"/>
    <xf numFmtId="0" fontId="0" fillId="7" borderId="1" xfId="0" applyFill="1" applyBorder="1"/>
    <xf numFmtId="0" fontId="0" fillId="13" borderId="1" xfId="0" applyFill="1" applyBorder="1"/>
    <xf numFmtId="0" fontId="0" fillId="14" borderId="1" xfId="0" applyFill="1" applyBorder="1"/>
    <xf numFmtId="0" fontId="0" fillId="15" borderId="1" xfId="0" applyFill="1" applyBorder="1" applyAlignment="1">
      <alignment horizontal="center"/>
    </xf>
    <xf numFmtId="0" fontId="8" fillId="3" borderId="1" xfId="0" applyFont="1" applyFill="1" applyBorder="1" applyAlignment="1">
      <alignment horizontal="center" vertical="center"/>
    </xf>
    <xf numFmtId="0" fontId="0" fillId="0" borderId="3" xfId="0" applyBorder="1"/>
    <xf numFmtId="0" fontId="3" fillId="12" borderId="1" xfId="0" applyFont="1" applyFill="1" applyBorder="1" applyAlignment="1">
      <alignment horizontal="center"/>
    </xf>
  </cellXfs>
  <cellStyles count="4">
    <cellStyle name="Hiperlink" xfId="1" builtinId="8"/>
    <cellStyle name="Moeda 2" xfId="2" xr:uid="{2ED84C72-E0F4-48CB-B558-F22FD9383E29}"/>
    <cellStyle name="Normal" xfId="0" builtinId="0"/>
    <cellStyle name="Porcentagem 2" xfId="3" xr:uid="{D59E91AD-4B8A-44E4-AADA-EAEB67F6B196}"/>
  </cellStyles>
  <dxfs count="14">
    <dxf>
      <font>
        <color rgb="FF000000"/>
      </font>
      <fill>
        <gradientFill degree="90">
          <stop position="0">
            <color theme="0"/>
          </stop>
          <stop position="1">
            <color rgb="FF00B0F0"/>
          </stop>
        </gradientFill>
      </fill>
    </dxf>
    <dxf>
      <font>
        <color rgb="FF000000"/>
      </font>
      <fill>
        <gradientFill degree="90">
          <stop position="0">
            <color theme="0"/>
          </stop>
          <stop position="1">
            <color rgb="FF94FA38"/>
          </stop>
        </gradientFill>
      </fill>
    </dxf>
    <dxf>
      <font>
        <color rgb="FF000000"/>
      </font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C000"/>
          </stop>
        </gradientFill>
      </fill>
    </dxf>
    <dxf>
      <font>
        <color rgb="FF000000"/>
      </font>
      <fill>
        <gradientFill degree="90">
          <stop position="0">
            <color theme="4" tint="0.80001220740379042"/>
          </stop>
          <stop position="1">
            <color rgb="FF00B0F0"/>
          </stop>
        </gradientFill>
      </fill>
    </dxf>
    <dxf>
      <font>
        <color rgb="FF000000"/>
      </font>
      <fill>
        <gradientFill degree="90">
          <stop position="0">
            <color rgb="FF92D050"/>
          </stop>
          <stop position="1">
            <color rgb="FF94FA38"/>
          </stop>
        </gradientFill>
      </fill>
    </dxf>
    <dxf>
      <font>
        <color rgb="FF000000"/>
      </font>
      <fill>
        <gradientFill degree="90">
          <stop position="0">
            <color rgb="FFFFFFCC"/>
          </stop>
          <stop position="1">
            <color rgb="FFFFFF00"/>
          </stop>
        </gradientFill>
      </fill>
    </dxf>
    <dxf>
      <fill>
        <gradientFill degree="90">
          <stop position="0">
            <color rgb="FFFF8181"/>
          </stop>
          <stop position="1">
            <color rgb="FFFF0000"/>
          </stop>
        </gradientFill>
      </fill>
    </dxf>
    <dxf>
      <fill>
        <gradientFill degree="90">
          <stop position="0">
            <color rgb="FFFFCC99"/>
          </stop>
          <stop position="1">
            <color rgb="FFFFC000"/>
          </stop>
        </gradientFill>
      </fill>
    </dxf>
    <dxf>
      <font>
        <color rgb="FF000000"/>
      </font>
      <fill>
        <gradientFill degree="90">
          <stop position="0">
            <color theme="0"/>
          </stop>
          <stop position="1">
            <color rgb="FFFFC000"/>
          </stop>
        </gradientFill>
      </fill>
    </dxf>
    <dxf>
      <font>
        <color rgb="FF000000"/>
      </font>
      <fill>
        <gradientFill degree="90">
          <stop position="0">
            <color rgb="FFFFFFCC"/>
          </stop>
          <stop position="1">
            <color rgb="FFFFFF00"/>
          </stop>
        </gradientFill>
      </fill>
    </dxf>
    <dxf>
      <font>
        <color rgb="FF000000"/>
      </font>
      <fill>
        <gradientFill degree="90">
          <stop position="0">
            <color theme="0"/>
          </stop>
          <stop position="1">
            <color theme="9" tint="0.59999389629810485"/>
          </stop>
        </gradientFill>
      </fill>
    </dxf>
    <dxf>
      <font>
        <color rgb="FF000000"/>
      </font>
      <fill>
        <gradientFill degree="90">
          <stop position="0">
            <color theme="0"/>
          </stop>
          <stop position="1">
            <color rgb="FFFF0000"/>
          </stop>
        </gradient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../9%20-%20PCFs%20Transpetro/PCF-I-PT-4880.00-7338-200-CZ1-001_R0.xlsx" TargetMode="External"/><Relationship Id="rId13" Type="http://schemas.openxmlformats.org/officeDocument/2006/relationships/hyperlink" Target="../9%20-%20PCFs%20Transpetro/PCF-I-PT-4880.00-3345-100-CZ1-002_R0.xlsx" TargetMode="External"/><Relationship Id="rId18" Type="http://schemas.openxmlformats.org/officeDocument/2006/relationships/hyperlink" Target="../9%20-%20PCFs%20Transpetro/PCF-I-PT-4880.00-7007-110-CZ1-001_R0.xlsx" TargetMode="External"/><Relationship Id="rId3" Type="http://schemas.openxmlformats.org/officeDocument/2006/relationships/hyperlink" Target="../9%20-%20PCFs%20Transpetro/PCF-I-PT-4880.00-4134-430-CZ1-001_R0.xlsx" TargetMode="External"/><Relationship Id="rId21" Type="http://schemas.openxmlformats.org/officeDocument/2006/relationships/hyperlink" Target="../9%20-%20PCFs%20Transpetro/PCF-I-PT-4880.00-5300-000-CZ1-003_R0.xlsx" TargetMode="External"/><Relationship Id="rId7" Type="http://schemas.openxmlformats.org/officeDocument/2006/relationships/hyperlink" Target="../9%20-%20PCFs%20Transpetro/PCF-I-PT-4880.00-7109-200-CZ1-001_R0.xlsx" TargetMode="External"/><Relationship Id="rId12" Type="http://schemas.openxmlformats.org/officeDocument/2006/relationships/hyperlink" Target="../9%20-%20PCFs%20Transpetro/PCF-I-PT-4880.00-5700-000-CZ1-001_R0.xlsx" TargetMode="External"/><Relationship Id="rId17" Type="http://schemas.openxmlformats.org/officeDocument/2006/relationships/hyperlink" Target="../9%20-%20PCFs%20Transpetro/PCF-I-PT-4880.00-5562-000-CZ1-001_R0.xlsx" TargetMode="External"/><Relationship Id="rId2" Type="http://schemas.openxmlformats.org/officeDocument/2006/relationships/hyperlink" Target="../9%20-%20PCFs%20Transpetro/PCF-I-PT-4880.00-4034-300-CZ1-001_R0.xlsx" TargetMode="External"/><Relationship Id="rId16" Type="http://schemas.openxmlformats.org/officeDocument/2006/relationships/hyperlink" Target="../9%20-%20PCFs%20Transpetro/PCF-I-PT-4880.00-5522-100-CZ1-001_R0.xlsx" TargetMode="External"/><Relationship Id="rId20" Type="http://schemas.openxmlformats.org/officeDocument/2006/relationships/hyperlink" Target="../9%20-%20PCFs%20Transpetro/PCF-PR-4880.00-9311-000-CZ1-001_R0.xlsx" TargetMode="External"/><Relationship Id="rId1" Type="http://schemas.openxmlformats.org/officeDocument/2006/relationships/hyperlink" Target="../9%20-%20PCFs%20Transpetro/PCF-I-PT-4880.00-3500-400-CZ1-001_R0.xlsx" TargetMode="External"/><Relationship Id="rId6" Type="http://schemas.openxmlformats.org/officeDocument/2006/relationships/hyperlink" Target="../9%20-%20PCFs%20Transpetro/PCF-I-PT-4880.00-5101-900-CZ1-002_R0.xlsx" TargetMode="External"/><Relationship Id="rId11" Type="http://schemas.openxmlformats.org/officeDocument/2006/relationships/hyperlink" Target="../9%20-%20PCFs%20Transpetro/PCF-I-PT-4880.00-5650-000-CZ1-001_R0.xlsx" TargetMode="External"/><Relationship Id="rId24" Type="http://schemas.openxmlformats.org/officeDocument/2006/relationships/printerSettings" Target="../printerSettings/printerSettings1.bin"/><Relationship Id="rId5" Type="http://schemas.openxmlformats.org/officeDocument/2006/relationships/hyperlink" Target="../9%20-%20PCFs%20Transpetro/PCF-I-PT-4880.00-5101-900-CZ1-001_R0.xlsx" TargetMode="External"/><Relationship Id="rId15" Type="http://schemas.openxmlformats.org/officeDocument/2006/relationships/hyperlink" Target="../9%20-%20PCFs%20Transpetro/PCF-I-PT-4880.00-5300-000-CZ1-004_R0.xlsx" TargetMode="External"/><Relationship Id="rId23" Type="http://schemas.openxmlformats.org/officeDocument/2006/relationships/hyperlink" Target="../9%20-%20PCFs%20Transpetro/PCF-I-PT-4880.00-5200-000-CZ1-001_R0.xlsx" TargetMode="External"/><Relationship Id="rId10" Type="http://schemas.openxmlformats.org/officeDocument/2006/relationships/hyperlink" Target="../9%20-%20PCFs%20Transpetro/PCF-PR-4880.00-1200-000-CZ1-004_R0.xlsx" TargetMode="External"/><Relationship Id="rId19" Type="http://schemas.openxmlformats.org/officeDocument/2006/relationships/hyperlink" Target="../9%20-%20PCFs%20Transpetro/PCF-I-PT-4880.00-8000-000-CZ1-002_R0.xlsx" TargetMode="External"/><Relationship Id="rId4" Type="http://schemas.openxmlformats.org/officeDocument/2006/relationships/hyperlink" Target="../9%20-%20PCFs%20Transpetro/PCF-I-PT-4880.00-4300-000-CZ1-001_R0.xlsx" TargetMode="External"/><Relationship Id="rId9" Type="http://schemas.openxmlformats.org/officeDocument/2006/relationships/hyperlink" Target="../9%20-%20PCFs%20Transpetro/PCF-I-ET-4880.00-9311-000-CZ1-001_R0.xlsx" TargetMode="External"/><Relationship Id="rId14" Type="http://schemas.openxmlformats.org/officeDocument/2006/relationships/hyperlink" Target="../9%20-%20PCFs%20Transpetro/PCF-I-PT-4880.00-5137-000-CZ1-001_R0.xlsx" TargetMode="External"/><Relationship Id="rId22" Type="http://schemas.openxmlformats.org/officeDocument/2006/relationships/hyperlink" Target="../9%20-%20PCFs%20Transpetro/PCF-I-PT-4880.00-5101-110-CZ1-001_R0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662C1-44E7-4D45-92FE-121B8423D47A}">
  <sheetPr codeName="Planilha4">
    <tabColor rgb="FFFFFF00"/>
  </sheetPr>
  <dimension ref="A1:L26"/>
  <sheetViews>
    <sheetView showGridLines="0" tabSelected="1" workbookViewId="0">
      <selection activeCell="D6" sqref="D6"/>
    </sheetView>
  </sheetViews>
  <sheetFormatPr defaultRowHeight="15" x14ac:dyDescent="0.25"/>
  <cols>
    <col min="1" max="1" width="32.42578125" style="23" customWidth="1"/>
    <col min="2" max="2" width="12.140625" style="23" customWidth="1"/>
    <col min="3" max="3" width="14" style="23" customWidth="1"/>
    <col min="4" max="5" width="32.42578125" style="23" customWidth="1"/>
    <col min="6" max="6" width="53.42578125" style="23" bestFit="1" customWidth="1"/>
    <col min="7" max="7" width="65" style="24" customWidth="1"/>
    <col min="8" max="8" width="16.28515625" style="23" customWidth="1"/>
    <col min="9" max="9" width="20.5703125" style="23" bestFit="1" customWidth="1"/>
    <col min="10" max="10" width="29" style="23" bestFit="1" customWidth="1"/>
    <col min="11" max="11" width="39.5703125" style="23" customWidth="1"/>
    <col min="12" max="12" width="13.140625" style="23" customWidth="1"/>
  </cols>
  <sheetData>
    <row r="1" spans="1:12" ht="30" x14ac:dyDescent="0.25">
      <c r="A1" s="1" t="s">
        <v>94</v>
      </c>
      <c r="B1" s="1" t="s">
        <v>95</v>
      </c>
      <c r="C1" s="1" t="s">
        <v>139</v>
      </c>
      <c r="D1" s="1" t="s">
        <v>96</v>
      </c>
      <c r="E1" s="1" t="s">
        <v>97</v>
      </c>
      <c r="F1" s="1" t="s">
        <v>98</v>
      </c>
      <c r="G1" s="1" t="s">
        <v>99</v>
      </c>
      <c r="H1" s="1" t="s">
        <v>166</v>
      </c>
      <c r="I1" s="1" t="s">
        <v>140</v>
      </c>
      <c r="J1" s="1" t="s">
        <v>100</v>
      </c>
      <c r="K1" s="1" t="s">
        <v>101</v>
      </c>
      <c r="L1" s="1" t="s">
        <v>102</v>
      </c>
    </row>
    <row r="2" spans="1:12" ht="15.75" customHeight="1" x14ac:dyDescent="0.25">
      <c r="A2" s="9" t="s">
        <v>0</v>
      </c>
      <c r="B2" s="6" t="s">
        <v>1</v>
      </c>
      <c r="C2" s="7" t="s">
        <v>105</v>
      </c>
      <c r="D2" s="9" t="s">
        <v>6</v>
      </c>
      <c r="E2" s="3">
        <v>0</v>
      </c>
      <c r="F2" s="10" t="s">
        <v>5</v>
      </c>
      <c r="G2" s="18" t="s">
        <v>7</v>
      </c>
      <c r="H2" s="4" t="s">
        <v>8</v>
      </c>
      <c r="I2" s="5" t="s">
        <v>9</v>
      </c>
      <c r="J2" s="11" t="s">
        <v>10</v>
      </c>
      <c r="K2" s="19" t="s">
        <v>137</v>
      </c>
      <c r="L2" s="2" t="s">
        <v>11</v>
      </c>
    </row>
    <row r="3" spans="1:12" ht="15.75" customHeight="1" x14ac:dyDescent="0.25">
      <c r="A3" s="12" t="s">
        <v>0</v>
      </c>
      <c r="B3" s="20" t="s">
        <v>1</v>
      </c>
      <c r="C3" s="7" t="s">
        <v>104</v>
      </c>
      <c r="D3" s="12" t="s">
        <v>16</v>
      </c>
      <c r="E3" s="3">
        <v>0</v>
      </c>
      <c r="F3" s="13" t="s">
        <v>13</v>
      </c>
      <c r="G3" s="21" t="s">
        <v>17</v>
      </c>
      <c r="H3" s="4" t="s">
        <v>8</v>
      </c>
      <c r="I3" s="14" t="s">
        <v>9</v>
      </c>
      <c r="J3" s="11" t="s">
        <v>18</v>
      </c>
      <c r="K3" s="19" t="s">
        <v>138</v>
      </c>
      <c r="L3" s="2" t="s">
        <v>19</v>
      </c>
    </row>
    <row r="4" spans="1:12" ht="30" customHeight="1" x14ac:dyDescent="0.25">
      <c r="A4" s="12" t="s">
        <v>0</v>
      </c>
      <c r="B4" s="20" t="s">
        <v>1</v>
      </c>
      <c r="C4" s="7" t="s">
        <v>105</v>
      </c>
      <c r="D4" s="12" t="s">
        <v>20</v>
      </c>
      <c r="E4" s="3">
        <v>0</v>
      </c>
      <c r="F4" s="13" t="s">
        <v>12</v>
      </c>
      <c r="G4" s="21" t="s">
        <v>21</v>
      </c>
      <c r="H4" s="4" t="s">
        <v>8</v>
      </c>
      <c r="I4" s="14" t="s">
        <v>9</v>
      </c>
      <c r="J4" s="11" t="s">
        <v>22</v>
      </c>
      <c r="K4" s="19" t="s">
        <v>114</v>
      </c>
      <c r="L4" s="2" t="s">
        <v>23</v>
      </c>
    </row>
    <row r="5" spans="1:12" ht="30" customHeight="1" x14ac:dyDescent="0.25">
      <c r="A5" s="3" t="s">
        <v>0</v>
      </c>
      <c r="B5" s="6" t="s">
        <v>1</v>
      </c>
      <c r="C5" s="7" t="s">
        <v>105</v>
      </c>
      <c r="D5" s="3" t="s">
        <v>25</v>
      </c>
      <c r="E5" s="3">
        <v>0</v>
      </c>
      <c r="F5" s="4" t="s">
        <v>14</v>
      </c>
      <c r="G5" s="17" t="s">
        <v>26</v>
      </c>
      <c r="H5" s="5" t="s">
        <v>8</v>
      </c>
      <c r="I5" s="5" t="s">
        <v>9</v>
      </c>
      <c r="J5" s="11" t="s">
        <v>10</v>
      </c>
      <c r="K5" s="19" t="s">
        <v>115</v>
      </c>
      <c r="L5" s="2" t="s">
        <v>11</v>
      </c>
    </row>
    <row r="6" spans="1:12" ht="30" customHeight="1" x14ac:dyDescent="0.25">
      <c r="A6" s="12" t="s">
        <v>0</v>
      </c>
      <c r="B6" s="20" t="s">
        <v>1</v>
      </c>
      <c r="C6" s="7" t="s">
        <v>105</v>
      </c>
      <c r="D6" s="12" t="s">
        <v>28</v>
      </c>
      <c r="E6" s="3">
        <v>0</v>
      </c>
      <c r="F6" s="13" t="s">
        <v>14</v>
      </c>
      <c r="G6" s="21" t="s">
        <v>29</v>
      </c>
      <c r="H6" s="4" t="s">
        <v>8</v>
      </c>
      <c r="I6" s="14" t="s">
        <v>9</v>
      </c>
      <c r="J6" s="11" t="s">
        <v>22</v>
      </c>
      <c r="K6" s="19" t="s">
        <v>116</v>
      </c>
      <c r="L6" s="2" t="s">
        <v>23</v>
      </c>
    </row>
    <row r="7" spans="1:12" ht="15.75" customHeight="1" x14ac:dyDescent="0.25">
      <c r="A7" s="3" t="s">
        <v>0</v>
      </c>
      <c r="B7" s="6" t="s">
        <v>1</v>
      </c>
      <c r="C7" s="7" t="s">
        <v>105</v>
      </c>
      <c r="D7" s="3" t="s">
        <v>30</v>
      </c>
      <c r="E7" s="3">
        <v>0</v>
      </c>
      <c r="F7" s="4" t="s">
        <v>14</v>
      </c>
      <c r="G7" s="17" t="s">
        <v>31</v>
      </c>
      <c r="H7" s="4" t="s">
        <v>8</v>
      </c>
      <c r="I7" s="5" t="s">
        <v>9</v>
      </c>
      <c r="J7" s="6" t="s">
        <v>32</v>
      </c>
      <c r="K7" s="19" t="s">
        <v>117</v>
      </c>
      <c r="L7" s="2" t="s">
        <v>33</v>
      </c>
    </row>
    <row r="8" spans="1:12" ht="15.75" customHeight="1" x14ac:dyDescent="0.25">
      <c r="A8" s="12" t="s">
        <v>0</v>
      </c>
      <c r="B8" s="20" t="s">
        <v>1</v>
      </c>
      <c r="C8" s="7" t="s">
        <v>105</v>
      </c>
      <c r="D8" s="12" t="s">
        <v>34</v>
      </c>
      <c r="E8" s="3">
        <v>0</v>
      </c>
      <c r="F8" s="13" t="s">
        <v>14</v>
      </c>
      <c r="G8" s="21" t="s">
        <v>35</v>
      </c>
      <c r="H8" s="4" t="s">
        <v>8</v>
      </c>
      <c r="I8" s="14" t="s">
        <v>9</v>
      </c>
      <c r="J8" s="11" t="s">
        <v>36</v>
      </c>
      <c r="K8" s="19" t="s">
        <v>118</v>
      </c>
      <c r="L8" s="2" t="s">
        <v>23</v>
      </c>
    </row>
    <row r="9" spans="1:12" ht="15.75" customHeight="1" x14ac:dyDescent="0.25">
      <c r="A9" s="15" t="s">
        <v>0</v>
      </c>
      <c r="B9" s="6" t="s">
        <v>1</v>
      </c>
      <c r="C9" s="7" t="s">
        <v>105</v>
      </c>
      <c r="D9" s="15" t="s">
        <v>38</v>
      </c>
      <c r="E9" s="3">
        <v>0</v>
      </c>
      <c r="F9" s="16" t="s">
        <v>5</v>
      </c>
      <c r="G9" s="22" t="s">
        <v>39</v>
      </c>
      <c r="H9" s="4" t="s">
        <v>8</v>
      </c>
      <c r="I9" s="5" t="s">
        <v>9</v>
      </c>
      <c r="J9" s="11" t="s">
        <v>40</v>
      </c>
      <c r="K9" s="19" t="s">
        <v>119</v>
      </c>
      <c r="L9" s="2" t="s">
        <v>41</v>
      </c>
    </row>
    <row r="10" spans="1:12" ht="15.75" customHeight="1" x14ac:dyDescent="0.25">
      <c r="A10" s="12" t="s">
        <v>0</v>
      </c>
      <c r="B10" s="20" t="s">
        <v>1</v>
      </c>
      <c r="C10" s="7" t="s">
        <v>105</v>
      </c>
      <c r="D10" s="12" t="s">
        <v>42</v>
      </c>
      <c r="E10" s="3">
        <v>0</v>
      </c>
      <c r="F10" s="13" t="s">
        <v>5</v>
      </c>
      <c r="G10" s="21" t="s">
        <v>43</v>
      </c>
      <c r="H10" s="4" t="s">
        <v>8</v>
      </c>
      <c r="I10" s="14" t="s">
        <v>9</v>
      </c>
      <c r="J10" s="11" t="s">
        <v>44</v>
      </c>
      <c r="K10" s="19" t="s">
        <v>120</v>
      </c>
      <c r="L10" s="2" t="s">
        <v>19</v>
      </c>
    </row>
    <row r="11" spans="1:12" ht="15.75" customHeight="1" x14ac:dyDescent="0.25">
      <c r="A11" s="12" t="s">
        <v>0</v>
      </c>
      <c r="B11" s="6" t="s">
        <v>1</v>
      </c>
      <c r="C11" s="7" t="s">
        <v>105</v>
      </c>
      <c r="D11" s="12" t="s">
        <v>45</v>
      </c>
      <c r="E11" s="3">
        <v>0</v>
      </c>
      <c r="F11" s="13" t="s">
        <v>24</v>
      </c>
      <c r="G11" s="21" t="s">
        <v>46</v>
      </c>
      <c r="H11" s="4" t="s">
        <v>8</v>
      </c>
      <c r="I11" s="5" t="s">
        <v>9</v>
      </c>
      <c r="J11" s="11" t="s">
        <v>47</v>
      </c>
      <c r="K11" s="19" t="s">
        <v>121</v>
      </c>
      <c r="L11" s="2" t="s">
        <v>23</v>
      </c>
    </row>
    <row r="12" spans="1:12" ht="15.75" customHeight="1" x14ac:dyDescent="0.25">
      <c r="A12" s="3" t="s">
        <v>0</v>
      </c>
      <c r="B12" s="6" t="s">
        <v>1</v>
      </c>
      <c r="C12" s="7" t="s">
        <v>105</v>
      </c>
      <c r="D12" s="3" t="s">
        <v>48</v>
      </c>
      <c r="E12" s="3">
        <v>0</v>
      </c>
      <c r="F12" s="4" t="s">
        <v>3</v>
      </c>
      <c r="G12" s="17" t="s">
        <v>49</v>
      </c>
      <c r="H12" s="4" t="s">
        <v>8</v>
      </c>
      <c r="I12" s="5" t="s">
        <v>9</v>
      </c>
      <c r="J12" s="6" t="s">
        <v>50</v>
      </c>
      <c r="K12" s="19" t="s">
        <v>122</v>
      </c>
      <c r="L12" s="2" t="s">
        <v>51</v>
      </c>
    </row>
    <row r="13" spans="1:12" ht="15.75" customHeight="1" x14ac:dyDescent="0.25">
      <c r="A13" s="3" t="s">
        <v>0</v>
      </c>
      <c r="B13" s="6" t="s">
        <v>1</v>
      </c>
      <c r="C13" s="7" t="s">
        <v>105</v>
      </c>
      <c r="D13" s="3" t="s">
        <v>52</v>
      </c>
      <c r="E13" s="3">
        <v>0</v>
      </c>
      <c r="F13" s="4" t="s">
        <v>5</v>
      </c>
      <c r="G13" s="17" t="s">
        <v>53</v>
      </c>
      <c r="H13" s="4" t="s">
        <v>8</v>
      </c>
      <c r="I13" s="5" t="s">
        <v>9</v>
      </c>
      <c r="J13" s="6" t="s">
        <v>32</v>
      </c>
      <c r="K13" s="19" t="s">
        <v>123</v>
      </c>
      <c r="L13" s="2" t="s">
        <v>33</v>
      </c>
    </row>
    <row r="14" spans="1:12" ht="15.75" customHeight="1" x14ac:dyDescent="0.25">
      <c r="A14" s="15" t="s">
        <v>0</v>
      </c>
      <c r="B14" s="6" t="s">
        <v>1</v>
      </c>
      <c r="C14" s="7" t="s">
        <v>105</v>
      </c>
      <c r="D14" s="15" t="s">
        <v>54</v>
      </c>
      <c r="E14" s="3">
        <v>0</v>
      </c>
      <c r="F14" s="16" t="s">
        <v>5</v>
      </c>
      <c r="G14" s="22" t="s">
        <v>55</v>
      </c>
      <c r="H14" s="4" t="s">
        <v>8</v>
      </c>
      <c r="I14" s="5" t="s">
        <v>9</v>
      </c>
      <c r="J14" s="11" t="s">
        <v>56</v>
      </c>
      <c r="K14" s="19" t="s">
        <v>124</v>
      </c>
      <c r="L14" s="2" t="s">
        <v>41</v>
      </c>
    </row>
    <row r="15" spans="1:12" ht="15.75" customHeight="1" x14ac:dyDescent="0.25">
      <c r="A15" s="15" t="s">
        <v>0</v>
      </c>
      <c r="B15" s="6" t="s">
        <v>1</v>
      </c>
      <c r="C15" s="7" t="s">
        <v>105</v>
      </c>
      <c r="D15" s="15" t="s">
        <v>57</v>
      </c>
      <c r="E15" s="3">
        <v>0</v>
      </c>
      <c r="F15" s="16" t="s">
        <v>5</v>
      </c>
      <c r="G15" s="22" t="s">
        <v>58</v>
      </c>
      <c r="H15" s="4" t="s">
        <v>8</v>
      </c>
      <c r="I15" s="5" t="s">
        <v>9</v>
      </c>
      <c r="J15" s="11" t="s">
        <v>59</v>
      </c>
      <c r="K15" s="19" t="s">
        <v>125</v>
      </c>
      <c r="L15" s="2" t="s">
        <v>60</v>
      </c>
    </row>
    <row r="16" spans="1:12" ht="15.75" customHeight="1" x14ac:dyDescent="0.25">
      <c r="A16" s="15" t="s">
        <v>0</v>
      </c>
      <c r="B16" s="6" t="s">
        <v>1</v>
      </c>
      <c r="C16" s="7" t="s">
        <v>105</v>
      </c>
      <c r="D16" s="15" t="s">
        <v>61</v>
      </c>
      <c r="E16" s="3">
        <v>0</v>
      </c>
      <c r="F16" s="16" t="s">
        <v>5</v>
      </c>
      <c r="G16" s="22" t="s">
        <v>62</v>
      </c>
      <c r="H16" s="4" t="s">
        <v>8</v>
      </c>
      <c r="I16" s="5" t="s">
        <v>9</v>
      </c>
      <c r="J16" s="11" t="s">
        <v>63</v>
      </c>
      <c r="K16" s="19" t="s">
        <v>126</v>
      </c>
      <c r="L16" s="2" t="s">
        <v>60</v>
      </c>
    </row>
    <row r="17" spans="1:12" ht="15.75" customHeight="1" x14ac:dyDescent="0.25">
      <c r="A17" s="15" t="s">
        <v>0</v>
      </c>
      <c r="B17" s="6" t="s">
        <v>1</v>
      </c>
      <c r="C17" s="7" t="s">
        <v>105</v>
      </c>
      <c r="D17" s="15" t="s">
        <v>64</v>
      </c>
      <c r="E17" s="3">
        <v>0</v>
      </c>
      <c r="F17" s="16" t="s">
        <v>5</v>
      </c>
      <c r="G17" s="22" t="s">
        <v>65</v>
      </c>
      <c r="H17" s="4" t="s">
        <v>8</v>
      </c>
      <c r="I17" s="5" t="s">
        <v>9</v>
      </c>
      <c r="J17" s="11" t="s">
        <v>66</v>
      </c>
      <c r="K17" s="19" t="s">
        <v>127</v>
      </c>
      <c r="L17" s="2" t="s">
        <v>60</v>
      </c>
    </row>
    <row r="18" spans="1:12" ht="30" customHeight="1" x14ac:dyDescent="0.25">
      <c r="A18" s="15" t="s">
        <v>0</v>
      </c>
      <c r="B18" s="6" t="s">
        <v>1</v>
      </c>
      <c r="C18" s="7" t="s">
        <v>105</v>
      </c>
      <c r="D18" s="15" t="s">
        <v>67</v>
      </c>
      <c r="E18" s="3">
        <v>0</v>
      </c>
      <c r="F18" s="16" t="s">
        <v>37</v>
      </c>
      <c r="G18" s="22" t="s">
        <v>68</v>
      </c>
      <c r="H18" s="4" t="s">
        <v>8</v>
      </c>
      <c r="I18" s="5" t="s">
        <v>9</v>
      </c>
      <c r="J18" s="11" t="s">
        <v>69</v>
      </c>
      <c r="K18" s="19" t="s">
        <v>128</v>
      </c>
      <c r="L18" s="2" t="s">
        <v>60</v>
      </c>
    </row>
    <row r="19" spans="1:12" ht="15.75" customHeight="1" x14ac:dyDescent="0.25">
      <c r="A19" s="15" t="s">
        <v>0</v>
      </c>
      <c r="B19" s="6" t="s">
        <v>1</v>
      </c>
      <c r="C19" s="7" t="s">
        <v>105</v>
      </c>
      <c r="D19" s="15" t="s">
        <v>70</v>
      </c>
      <c r="E19" s="3">
        <v>0</v>
      </c>
      <c r="F19" s="16" t="s">
        <v>5</v>
      </c>
      <c r="G19" s="22" t="s">
        <v>71</v>
      </c>
      <c r="H19" s="4" t="s">
        <v>8</v>
      </c>
      <c r="I19" s="5" t="s">
        <v>9</v>
      </c>
      <c r="J19" s="11" t="s">
        <v>72</v>
      </c>
      <c r="K19" s="19" t="s">
        <v>129</v>
      </c>
      <c r="L19" s="2" t="s">
        <v>60</v>
      </c>
    </row>
    <row r="20" spans="1:12" ht="15.75" customHeight="1" x14ac:dyDescent="0.25">
      <c r="A20" s="12" t="s">
        <v>0</v>
      </c>
      <c r="B20" s="6" t="s">
        <v>1</v>
      </c>
      <c r="C20" s="7" t="s">
        <v>105</v>
      </c>
      <c r="D20" s="12" t="s">
        <v>73</v>
      </c>
      <c r="E20" s="3">
        <v>0</v>
      </c>
      <c r="F20" s="13" t="s">
        <v>5</v>
      </c>
      <c r="G20" s="21" t="s">
        <v>74</v>
      </c>
      <c r="H20" s="4" t="s">
        <v>8</v>
      </c>
      <c r="I20" s="5" t="s">
        <v>9</v>
      </c>
      <c r="J20" s="11" t="s">
        <v>75</v>
      </c>
      <c r="K20" s="19" t="s">
        <v>130</v>
      </c>
      <c r="L20" s="2" t="s">
        <v>23</v>
      </c>
    </row>
    <row r="21" spans="1:12" ht="15.75" customHeight="1" x14ac:dyDescent="0.25">
      <c r="A21" s="3" t="s">
        <v>0</v>
      </c>
      <c r="B21" s="6" t="s">
        <v>1</v>
      </c>
      <c r="C21" s="7" t="s">
        <v>105</v>
      </c>
      <c r="D21" s="3" t="s">
        <v>76</v>
      </c>
      <c r="E21" s="3">
        <v>0</v>
      </c>
      <c r="F21" s="4" t="s">
        <v>4</v>
      </c>
      <c r="G21" s="17" t="s">
        <v>77</v>
      </c>
      <c r="H21" s="4" t="s">
        <v>8</v>
      </c>
      <c r="I21" s="5" t="s">
        <v>9</v>
      </c>
      <c r="J21" s="6" t="s">
        <v>78</v>
      </c>
      <c r="K21" s="19" t="s">
        <v>131</v>
      </c>
      <c r="L21" s="2" t="s">
        <v>79</v>
      </c>
    </row>
    <row r="22" spans="1:12" ht="15.75" customHeight="1" x14ac:dyDescent="0.25">
      <c r="A22" s="12" t="s">
        <v>0</v>
      </c>
      <c r="B22" s="6" t="s">
        <v>1</v>
      </c>
      <c r="C22" s="7" t="s">
        <v>105</v>
      </c>
      <c r="D22" s="12" t="s">
        <v>80</v>
      </c>
      <c r="E22" s="3">
        <v>0</v>
      </c>
      <c r="F22" s="13" t="s">
        <v>3</v>
      </c>
      <c r="G22" s="21" t="s">
        <v>81</v>
      </c>
      <c r="H22" s="4" t="s">
        <v>8</v>
      </c>
      <c r="I22" s="5" t="s">
        <v>9</v>
      </c>
      <c r="J22" s="11" t="s">
        <v>82</v>
      </c>
      <c r="K22" s="19" t="s">
        <v>132</v>
      </c>
      <c r="L22" s="2" t="s">
        <v>23</v>
      </c>
    </row>
    <row r="23" spans="1:12" ht="30" customHeight="1" x14ac:dyDescent="0.25">
      <c r="A23" s="3" t="s">
        <v>0</v>
      </c>
      <c r="B23" s="6" t="s">
        <v>1</v>
      </c>
      <c r="C23" s="7" t="s">
        <v>105</v>
      </c>
      <c r="D23" s="3" t="s">
        <v>83</v>
      </c>
      <c r="E23" s="3">
        <v>0</v>
      </c>
      <c r="F23" s="4" t="s">
        <v>24</v>
      </c>
      <c r="G23" s="17" t="s">
        <v>84</v>
      </c>
      <c r="H23" s="4" t="s">
        <v>8</v>
      </c>
      <c r="I23" s="5" t="s">
        <v>9</v>
      </c>
      <c r="J23" s="6" t="s">
        <v>85</v>
      </c>
      <c r="K23" s="19" t="s">
        <v>133</v>
      </c>
      <c r="L23" s="2" t="s">
        <v>51</v>
      </c>
    </row>
    <row r="24" spans="1:12" ht="15.75" customHeight="1" x14ac:dyDescent="0.25">
      <c r="A24" s="12" t="s">
        <v>0</v>
      </c>
      <c r="B24" s="20" t="s">
        <v>1</v>
      </c>
      <c r="C24" s="7" t="s">
        <v>113</v>
      </c>
      <c r="D24" s="12" t="s">
        <v>86</v>
      </c>
      <c r="E24" s="3">
        <v>0</v>
      </c>
      <c r="F24" s="13" t="s">
        <v>27</v>
      </c>
      <c r="G24" s="21" t="s">
        <v>87</v>
      </c>
      <c r="H24" s="4" t="s">
        <v>8</v>
      </c>
      <c r="I24" s="14" t="s">
        <v>9</v>
      </c>
      <c r="J24" s="11" t="s">
        <v>44</v>
      </c>
      <c r="K24" s="19" t="s">
        <v>134</v>
      </c>
      <c r="L24" s="2" t="s">
        <v>19</v>
      </c>
    </row>
    <row r="25" spans="1:12" s="8" customFormat="1" ht="15.75" customHeight="1" x14ac:dyDescent="0.25">
      <c r="A25" s="12" t="s">
        <v>0</v>
      </c>
      <c r="B25" s="20" t="s">
        <v>1</v>
      </c>
      <c r="C25" s="7" t="s">
        <v>109</v>
      </c>
      <c r="D25" s="12" t="s">
        <v>88</v>
      </c>
      <c r="E25" s="3">
        <v>0</v>
      </c>
      <c r="F25" s="13" t="s">
        <v>15</v>
      </c>
      <c r="G25" s="21" t="s">
        <v>89</v>
      </c>
      <c r="H25" s="4" t="s">
        <v>8</v>
      </c>
      <c r="I25" s="14" t="s">
        <v>9</v>
      </c>
      <c r="J25" s="11" t="s">
        <v>90</v>
      </c>
      <c r="K25" s="19" t="s">
        <v>135</v>
      </c>
      <c r="L25" s="2" t="s">
        <v>23</v>
      </c>
    </row>
    <row r="26" spans="1:12" s="8" customFormat="1" ht="15.75" customHeight="1" x14ac:dyDescent="0.25">
      <c r="A26" s="12" t="s">
        <v>0</v>
      </c>
      <c r="B26" s="20" t="s">
        <v>1</v>
      </c>
      <c r="C26" s="7" t="s">
        <v>109</v>
      </c>
      <c r="D26" s="12" t="s">
        <v>91</v>
      </c>
      <c r="E26" s="3">
        <v>0</v>
      </c>
      <c r="F26" s="13" t="s">
        <v>15</v>
      </c>
      <c r="G26" s="21" t="s">
        <v>92</v>
      </c>
      <c r="H26" s="14" t="s">
        <v>8</v>
      </c>
      <c r="I26" s="14" t="s">
        <v>9</v>
      </c>
      <c r="J26" s="11" t="s">
        <v>93</v>
      </c>
      <c r="K26" s="19" t="s">
        <v>136</v>
      </c>
      <c r="L26" s="2" t="s">
        <v>23</v>
      </c>
    </row>
  </sheetData>
  <autoFilter ref="A1:L26" xr:uid="{01C662C1-44E7-4D45-92FE-121B8423D47A}"/>
  <conditionalFormatting sqref="A31:A449 A2:C30 B2:L449">
    <cfRule type="expression" dxfId="13" priority="115" stopIfTrue="1">
      <formula>$I2="Revisar"</formula>
    </cfRule>
  </conditionalFormatting>
  <conditionalFormatting sqref="A31:A449 A2:C30 B2:L449">
    <cfRule type="expression" dxfId="12" priority="116" stopIfTrue="1">
      <formula>$I2="Emitido"</formula>
    </cfRule>
    <cfRule type="expression" dxfId="11" priority="117" stopIfTrue="1">
      <formula>$I2="Emitir"</formula>
    </cfRule>
    <cfRule type="expression" dxfId="10" priority="118" stopIfTrue="1">
      <formula>$I2="Não Recebido"</formula>
    </cfRule>
  </conditionalFormatting>
  <conditionalFormatting sqref="L2">
    <cfRule type="expression" dxfId="9" priority="122" stopIfTrue="1">
      <formula>$I2="Não Recebido"</formula>
    </cfRule>
    <cfRule type="expression" dxfId="8" priority="123" stopIfTrue="1">
      <formula>$I2="Reemitir"</formula>
    </cfRule>
    <cfRule type="expression" dxfId="7" priority="124" stopIfTrue="1">
      <formula>$I2="Emitir"</formula>
    </cfRule>
    <cfRule type="expression" dxfId="6" priority="125" stopIfTrue="1">
      <formula>$I2="Emitido"</formula>
    </cfRule>
    <cfRule type="expression" dxfId="5" priority="126" stopIfTrue="1">
      <formula>$I2="Solicitar TP"</formula>
    </cfRule>
  </conditionalFormatting>
  <hyperlinks>
    <hyperlink ref="K5" r:id="rId1" tooltip="W:\Projetos\05_HANDYMAX\09. Doc Control\9 - PCFs Transpetro\PCF-I-PT-4880.00-3500-400-CZ1-001_R0.xlsx - Click once to follow. Click and hold to select this cell." display="I-PT-4880.00-3500-400-CZ1-001" xr:uid="{C637D97C-D015-4E69-8ABE-BEB03D84AF14}"/>
    <hyperlink ref="K6" r:id="rId2" tooltip="W:\Projetos\05_HANDYMAX\09. Doc Control\9 - PCFs Transpetro\PCF-I-PT-4880.00-4034-300-CZ1-001_R0.xlsx - Click once to follow. Click and hold to select this cell." display="I-PT-4880.00-4034-300-CZ1-001" xr:uid="{905BED99-942B-49A7-8074-F7F3D0957B4E}"/>
    <hyperlink ref="K7" r:id="rId3" tooltip="W:\Projetos\05_HANDYMAX\09. Doc Control\9 - PCFs Transpetro\PCF-I-PT-4880.00-4134-430-CZ1-001_R0.xlsx - Click once to follow. Click and hold to select this cell." display="I-PT-4880.00-4134-430-CZ1-001" xr:uid="{92073CBF-0853-40DB-B959-3FD33ADD1D57}"/>
    <hyperlink ref="K8" r:id="rId4" tooltip="W:\Projetos\05_HANDYMAX\09. Doc Control\9 - PCFs Transpetro\PCF-I-PT-4880.00-4300-000-CZ1-001_R0.xlsx - Click once to follow. Click and hold to select this cell." display="I-PT-4880.00-4300-000-CZ1-001" xr:uid="{468C2FA5-4559-4673-B344-E502856E4621}"/>
    <hyperlink ref="K11" r:id="rId5" tooltip="W:\Projetos\05_HANDYMAX\09. Doc Control\9 - PCFs Transpetro\PCF-I-PT-4880.00-5101-900-CZ1-001_R0.xlsx - Click once to follow. Click and hold to select this cell." display="I-PT-4880.00-5101-900-CZ1-001" xr:uid="{2C0E2B91-4442-493A-9DC2-CBD75CD54359}"/>
    <hyperlink ref="K12" r:id="rId6" tooltip="W:\Projetos\05_HANDYMAX\09. Doc Control\9 - PCFs Transpetro\PCF-I-PT-4880.00-5101-900-CZ1-002_R0.xlsx - Click once to follow. Click and hold to select this cell." display="I-PT-4880.00-5101-900-CZ1-002" xr:uid="{3B3CF1EC-0A09-4414-9CEF-F2CAE53BCDAD}"/>
    <hyperlink ref="K21" r:id="rId7" tooltip="W:\Projetos\05_HANDYMAX\09. Doc Control\9 - PCFs Transpetro\PCF-I-PT-4880.00-7109-200-CZ1-001_R0.xlsx - Click once to follow. Click and hold to select this cell." display="I-PT-4880.00-7109-200-CZ1-001" xr:uid="{411C266E-95A7-43C0-A17E-88CA67712305}"/>
    <hyperlink ref="K22" r:id="rId8" tooltip="W:\Projetos\05_HANDYMAX\09. Doc Control\9 - PCFs Transpetro\PCF-I-PT-4880.00-7338-200-CZ1-001_R0.xlsx - Click once to follow. Click and hold to select this cell." display="I-PT-4880.00-7338-200-CZ1-001" xr:uid="{46BC5C38-0F8D-4ED8-BB29-C927AE58D98F}"/>
    <hyperlink ref="K24" r:id="rId9" tooltip="W:\Projetos\05_HANDYMAX\09. Doc Control\9 - PCFs Transpetro\PCF-I-ET-4880.00-9311-000-CZ1-001_R0.xlsx - Click once to follow. Click and hold to select this cell." display="I-ET-4880.00-9311-000-CZ1-001" xr:uid="{EBD09318-3008-413C-B2C3-C73D5F257216}"/>
    <hyperlink ref="K26" r:id="rId10" tooltip="W:\Projetos\05_HANDYMAX\09. Doc Control\9 - PCFs Transpetro\PCF-PR-4880.00-1200-000-CZ1-004_R0.xlsx - Click once to follow. Click and hold to select this cell." display="PR-4880.00-1200-000-CZ1-004" xr:uid="{31AEADA0-5BBC-4EF1-9E30-0B5BD903BF7F}"/>
    <hyperlink ref="K18" r:id="rId11" tooltip="W:\Projetos\05_HANDYMAX\09. Doc Control\9 - PCFs Transpetro\PCF-I-PT-4880.00-5650-000-CZ1-001_R0.xlsx - Click once to follow. Click and hold to select this cell." display="I-PT-4880.00-5650-000-CZ1-001" xr:uid="{C2118F6C-0FC5-440F-AEE5-E40BDDF6C65D}"/>
    <hyperlink ref="K19" r:id="rId12" tooltip="W:\Projetos\05_HANDYMAX\09. Doc Control\9 - PCFs Transpetro\PCF-I-PT-4880.00-5700-000-CZ1-001_R0.xlsx - Click once to follow. Click and hold to select this cell." display="I-PT-4880.00-5700-000-CZ1-001" xr:uid="{1760A6BF-EBC9-4B1A-B977-E7ADA6E17C2C}"/>
    <hyperlink ref="K4" r:id="rId13" tooltip="W:\Projetos\05_HANDYMAX\09. Doc Control\9 - PCFs Transpetro\PCF-I-PT-4880.00-3345-100-CZ1-002_R0.xlsx - Click once to follow. Click and hold to select this cell." display="I-PT-4880.00-3345-100-CZ1-002" xr:uid="{E04F0B7E-FE2A-431A-9C0D-62D34C243CA3}"/>
    <hyperlink ref="K9" r:id="rId14" tooltip="W:\Projetos\05_HANDYMAX\09. Doc Control\9 - PCFs Transpetro\PCF-I-PT-4880.00-5137-000-CZ1-001_R0.xlsx - Click once to follow. Click and hold to select this cell." display="I-PT-4880.00-5137-000-CZ1-001" xr:uid="{B36C0788-B551-4747-9F38-5ABDEF0B03C9}"/>
    <hyperlink ref="K15" r:id="rId15" tooltip="W:\Projetos\05_HANDYMAX\09. Doc Control\9 - PCFs Transpetro\PCF-I-PT-4880.00-5300-000-CZ1-004_R0.xlsx - Click once to follow. Click and hold to select this cell." display="I-PT-4880.00-5300-000-CZ1-004" xr:uid="{F83533CB-7FE4-49E2-8A38-D46EED848205}"/>
    <hyperlink ref="K16" r:id="rId16" tooltip="W:\Projetos\05_HANDYMAX\09. Doc Control\9 - PCFs Transpetro\PCF-I-PT-4880.00-5522-100-CZ1-001_R0.xlsx - Click once to follow. Click and hold to select this cell." display="I-PT-4880.00-5522-100-CZ1-001" xr:uid="{50A6D652-1E94-4137-BBB7-4F9111DA01F0}"/>
    <hyperlink ref="K17" r:id="rId17" tooltip="W:\Projetos\05_HANDYMAX\09. Doc Control\9 - PCFs Transpetro\PCF-I-PT-4880.00-5562-000-CZ1-001_R0.xlsx - Click once to follow. Click and hold to select this cell." display="I-PT-4880.00-5562-000-CZ1-001" xr:uid="{BB81009D-06C9-461D-8259-44797CFC54CA}"/>
    <hyperlink ref="K20" r:id="rId18" tooltip="W:\Projetos\05_HANDYMAX\09. Doc Control\9 - PCFs Transpetro\PCF-I-PT-4880.00-7007-110-CZ1-001_R0.xlsx - Click once to follow. Click and hold to select this cell." display="I-PT-4880.00-7007-110-CZ1-001" xr:uid="{8ABFE2F2-B267-4217-B277-2F09B458AC0B}"/>
    <hyperlink ref="K23" r:id="rId19" tooltip="W:\Projetos\05_HANDYMAX\09. Doc Control\9 - PCFs Transpetro\PCF-I-PT-4880.00-8000-000-CZ1-002_R0.xlsx - Click once to follow. Click and hold to select this cell." display="I-PT-4880.00-8000-000-CZ1-002" xr:uid="{A52AF2F9-6C9C-4078-9421-4481BB34FDBE}"/>
    <hyperlink ref="K25" r:id="rId20" tooltip="W:\Projetos\05_HANDYMAX\09. Doc Control\9 - PCFs Transpetro\PCF-PR-4880.00-9311-000-CZ1-001_R0.xlsx - Click once to follow. Click and hold to select this cell." display="PR-4880.00-9311-000-CZ1-001" xr:uid="{357D93F7-401B-4898-9268-61EBEF612960}"/>
    <hyperlink ref="K14" r:id="rId21" tooltip="W:\Projetos\05_HANDYMAX\09. Doc Control\9 - PCFs Transpetro\PCF-I-PT-4880.00-5300-000-CZ1-003_R0.xlsx - Click once to follow. Click and hold to select this cell." display="I-PT-4880.00-5300-000-CZ1-003" xr:uid="{FA281A9A-62DB-4F60-B014-D144CBCC6664}"/>
    <hyperlink ref="K10" r:id="rId22" tooltip="W:\Projetos\05_HANDYMAX\09. Doc Control\9 - PCFs Transpetro\PCF-I-PT-4880.00-5101-110-CZ1-001_R0.xlsx - Click once to follow. Click and hold to select this cell." display="I-PT-4880.00-5101-110-CZ1-001" xr:uid="{F942446B-524C-4D54-A9CF-6BD2A875BEAD}"/>
    <hyperlink ref="K13" r:id="rId23" tooltip="W:\Projetos\05_HANDYMAX\09. Doc Control\9 - PCFs Transpetro\PCF-I-PT-4880.00-5200-000-CZ1-001_R0.xlsx - Click once to follow. Click and hold to select this cell." display="I-PT-4880.00-5200-000-CZ1-001" xr:uid="{C5C26498-9E7D-45D0-AF0B-05E0D0EC5A92}"/>
  </hyperlinks>
  <pageMargins left="0.511811024" right="0.511811024" top="0.78740157499999996" bottom="0.78740157499999996" header="0.31496062000000002" footer="0.31496062000000002"/>
  <pageSetup paperSize="9" orientation="portrait" r:id="rId2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47798-C990-49EB-B077-549FC7BC478C}">
  <sheetPr codeName="Planilha9">
    <tabColor rgb="FF92D050"/>
  </sheetPr>
  <dimension ref="A2:L26"/>
  <sheetViews>
    <sheetView showGridLines="0" workbookViewId="0">
      <selection activeCell="A17" sqref="A17"/>
    </sheetView>
  </sheetViews>
  <sheetFormatPr defaultRowHeight="15" x14ac:dyDescent="0.25"/>
  <cols>
    <col min="1" max="1" width="20.7109375" bestFit="1" customWidth="1"/>
    <col min="2" max="2" width="33" bestFit="1" customWidth="1"/>
    <col min="3" max="3" width="15.85546875" bestFit="1" customWidth="1"/>
    <col min="5" max="5" width="16.5703125" customWidth="1"/>
    <col min="6" max="6" width="13.140625" bestFit="1" customWidth="1"/>
    <col min="7" max="7" width="15.7109375" customWidth="1"/>
    <col min="8" max="8" width="19.5703125" bestFit="1" customWidth="1"/>
    <col min="9" max="9" width="17.28515625" bestFit="1" customWidth="1"/>
    <col min="10" max="10" width="13.140625" customWidth="1"/>
    <col min="11" max="11" width="13.7109375" customWidth="1"/>
    <col min="12" max="12" width="14.42578125" bestFit="1" customWidth="1"/>
    <col min="14" max="14" width="14.42578125" bestFit="1" customWidth="1"/>
  </cols>
  <sheetData>
    <row r="2" spans="1:12" ht="30" customHeight="1" x14ac:dyDescent="0.25">
      <c r="A2" s="34" t="s">
        <v>151</v>
      </c>
      <c r="B2" s="34" t="s">
        <v>152</v>
      </c>
      <c r="C2" s="34" t="s">
        <v>153</v>
      </c>
      <c r="D2" s="35" t="s">
        <v>9</v>
      </c>
      <c r="E2" s="36" t="s">
        <v>154</v>
      </c>
      <c r="F2" s="37" t="s">
        <v>8</v>
      </c>
      <c r="G2" s="38" t="s">
        <v>2</v>
      </c>
      <c r="H2" s="39" t="s">
        <v>155</v>
      </c>
      <c r="I2" s="36" t="s">
        <v>156</v>
      </c>
      <c r="J2" s="40" t="s">
        <v>157</v>
      </c>
      <c r="K2" s="41" t="s">
        <v>158</v>
      </c>
      <c r="L2" s="39" t="s">
        <v>159</v>
      </c>
    </row>
    <row r="3" spans="1:12" x14ac:dyDescent="0.25">
      <c r="A3" s="25" t="s">
        <v>110</v>
      </c>
      <c r="B3" s="25">
        <f>COUNTIFS(LDP!C:C,MEDIÇÃO!A3)</f>
        <v>0</v>
      </c>
      <c r="C3" s="27">
        <f t="shared" ref="C3:C13" si="0">B3*$B$17</f>
        <v>0</v>
      </c>
      <c r="D3" s="25">
        <f>COUNTIFS(LDP!C:C,MEDIÇÃO!A3,LDP!I:I,MEDIÇÃO!$D$2)</f>
        <v>0</v>
      </c>
      <c r="E3" s="25">
        <f>COUNTIFS(LDP!C:C,MEDIÇÃO!A3,LDP!I:I,MEDIÇÃO!$E$2)</f>
        <v>0</v>
      </c>
      <c r="F3" s="25">
        <f>COUNTIFS(LDP!C:C,MEDIÇÃO!A3,LDP!I:I,MEDIÇÃO!$F$2)</f>
        <v>0</v>
      </c>
      <c r="G3" s="25">
        <f>COUNTIFS(LDP!C:C,MEDIÇÃO!A3,LDP!I:I,MEDIÇÃO!$G$2)</f>
        <v>0</v>
      </c>
      <c r="H3" s="27">
        <f>D3*$B$17</f>
        <v>0</v>
      </c>
      <c r="I3" s="27">
        <f t="shared" ref="I3:I13" si="1">E3*$B$17</f>
        <v>0</v>
      </c>
      <c r="J3" s="27">
        <f t="shared" ref="J3:J13" si="2">F3*$B$17</f>
        <v>0</v>
      </c>
      <c r="K3" s="27">
        <f t="shared" ref="K3:K13" si="3">G3*$B$17</f>
        <v>0</v>
      </c>
      <c r="L3" s="27">
        <f>H3+I3+J3</f>
        <v>0</v>
      </c>
    </row>
    <row r="4" spans="1:12" x14ac:dyDescent="0.25">
      <c r="A4" s="25" t="s">
        <v>104</v>
      </c>
      <c r="B4" s="25">
        <f>COUNTIFS(LDP!C:C,MEDIÇÃO!A4)</f>
        <v>1</v>
      </c>
      <c r="C4" s="27">
        <f t="shared" si="0"/>
        <v>978.99515624999992</v>
      </c>
      <c r="D4" s="25">
        <f>COUNTIFS(LDP!C:C,MEDIÇÃO!A4,LDP!I:I,MEDIÇÃO!$D$2)</f>
        <v>1</v>
      </c>
      <c r="E4" s="25">
        <v>0</v>
      </c>
      <c r="F4" s="25">
        <v>0</v>
      </c>
      <c r="G4" s="25">
        <f>COUNTIFS(LDP!C:C,MEDIÇÃO!A4,LDP!I:I,MEDIÇÃO!$G$2)</f>
        <v>0</v>
      </c>
      <c r="H4" s="27">
        <f t="shared" ref="H4:H13" si="4">D4*$B$17</f>
        <v>978.99515624999992</v>
      </c>
      <c r="I4" s="27">
        <f t="shared" si="1"/>
        <v>0</v>
      </c>
      <c r="J4" s="27">
        <f t="shared" si="2"/>
        <v>0</v>
      </c>
      <c r="K4" s="27">
        <f t="shared" si="3"/>
        <v>0</v>
      </c>
      <c r="L4" s="27">
        <f t="shared" ref="L4:L12" si="5">H4+I4+J4</f>
        <v>978.99515624999992</v>
      </c>
    </row>
    <row r="5" spans="1:12" x14ac:dyDescent="0.25">
      <c r="A5" s="25" t="s">
        <v>113</v>
      </c>
      <c r="B5" s="25">
        <f>COUNTIFS(LDP!C:C,MEDIÇÃO!A5)</f>
        <v>1</v>
      </c>
      <c r="C5" s="27">
        <f t="shared" si="0"/>
        <v>978.99515624999992</v>
      </c>
      <c r="D5" s="25">
        <f>COUNTIFS(LDP!C:C,MEDIÇÃO!A5,LDP!I:I,MEDIÇÃO!$D$2)</f>
        <v>1</v>
      </c>
      <c r="E5" s="25">
        <v>0</v>
      </c>
      <c r="F5" s="25">
        <v>0</v>
      </c>
      <c r="G5" s="25">
        <f>COUNTIFS(LDP!C:C,MEDIÇÃO!A5,LDP!I:I,MEDIÇÃO!$G$2)</f>
        <v>0</v>
      </c>
      <c r="H5" s="27">
        <f t="shared" si="4"/>
        <v>978.99515624999992</v>
      </c>
      <c r="I5" s="27">
        <f t="shared" si="1"/>
        <v>0</v>
      </c>
      <c r="J5" s="27">
        <f t="shared" si="2"/>
        <v>0</v>
      </c>
      <c r="K5" s="27">
        <f t="shared" si="3"/>
        <v>0</v>
      </c>
      <c r="L5" s="27">
        <f t="shared" si="5"/>
        <v>978.99515624999992</v>
      </c>
    </row>
    <row r="6" spans="1:12" x14ac:dyDescent="0.25">
      <c r="A6" s="25" t="s">
        <v>112</v>
      </c>
      <c r="B6" s="25">
        <f>COUNTIFS(LDP!C:C,MEDIÇÃO!A6)</f>
        <v>0</v>
      </c>
      <c r="C6" s="27">
        <f t="shared" si="0"/>
        <v>0</v>
      </c>
      <c r="D6" s="25">
        <f>COUNTIFS(LDP!C:C,MEDIÇÃO!A6,LDP!I:I,MEDIÇÃO!$D$2)</f>
        <v>0</v>
      </c>
      <c r="E6" s="25">
        <v>0</v>
      </c>
      <c r="F6" s="25">
        <v>0</v>
      </c>
      <c r="G6" s="25">
        <f>COUNTIFS(LDP!C:C,MEDIÇÃO!A6,LDP!I:I,MEDIÇÃO!$G$2)</f>
        <v>0</v>
      </c>
      <c r="H6" s="27">
        <f t="shared" si="4"/>
        <v>0</v>
      </c>
      <c r="I6" s="27">
        <f t="shared" si="1"/>
        <v>0</v>
      </c>
      <c r="J6" s="27">
        <f t="shared" si="2"/>
        <v>0</v>
      </c>
      <c r="K6" s="27">
        <f t="shared" si="3"/>
        <v>0</v>
      </c>
      <c r="L6" s="27">
        <f t="shared" si="5"/>
        <v>0</v>
      </c>
    </row>
    <row r="7" spans="1:12" x14ac:dyDescent="0.25">
      <c r="A7" s="25" t="s">
        <v>106</v>
      </c>
      <c r="B7" s="25">
        <f>COUNTIFS(LDP!C:C,MEDIÇÃO!A7)</f>
        <v>0</v>
      </c>
      <c r="C7" s="27">
        <f t="shared" si="0"/>
        <v>0</v>
      </c>
      <c r="D7" s="25">
        <f>COUNTIFS(LDP!C:C,MEDIÇÃO!A7,LDP!I:I,MEDIÇÃO!$D$2)</f>
        <v>0</v>
      </c>
      <c r="E7" s="25">
        <v>0</v>
      </c>
      <c r="F7" s="25">
        <v>0</v>
      </c>
      <c r="G7" s="25">
        <f>COUNTIFS(LDP!C:C,MEDIÇÃO!A7,LDP!I:I,MEDIÇÃO!$G$2)</f>
        <v>0</v>
      </c>
      <c r="H7" s="27">
        <f t="shared" si="4"/>
        <v>0</v>
      </c>
      <c r="I7" s="27">
        <f t="shared" si="1"/>
        <v>0</v>
      </c>
      <c r="J7" s="27">
        <f t="shared" si="2"/>
        <v>0</v>
      </c>
      <c r="K7" s="27">
        <f t="shared" si="3"/>
        <v>0</v>
      </c>
      <c r="L7" s="27">
        <f t="shared" si="5"/>
        <v>0</v>
      </c>
    </row>
    <row r="8" spans="1:12" x14ac:dyDescent="0.25">
      <c r="A8" s="25" t="s">
        <v>103</v>
      </c>
      <c r="B8" s="25">
        <f>COUNTIFS(LDP!C:C,MEDIÇÃO!A8)</f>
        <v>0</v>
      </c>
      <c r="C8" s="27">
        <f t="shared" si="0"/>
        <v>0</v>
      </c>
      <c r="D8" s="25">
        <f>COUNTIFS(LDP!C:C,MEDIÇÃO!A8,LDP!I:I,MEDIÇÃO!$D$2)</f>
        <v>0</v>
      </c>
      <c r="E8" s="25">
        <v>0</v>
      </c>
      <c r="F8" s="25">
        <v>0</v>
      </c>
      <c r="G8" s="25">
        <f>COUNTIFS(LDP!C:C,MEDIÇÃO!A8,LDP!I:I,MEDIÇÃO!$G$2)</f>
        <v>0</v>
      </c>
      <c r="H8" s="27">
        <f t="shared" si="4"/>
        <v>0</v>
      </c>
      <c r="I8" s="27">
        <f t="shared" si="1"/>
        <v>0</v>
      </c>
      <c r="J8" s="27">
        <f t="shared" si="2"/>
        <v>0</v>
      </c>
      <c r="K8" s="27">
        <f t="shared" si="3"/>
        <v>0</v>
      </c>
      <c r="L8" s="27">
        <f t="shared" si="5"/>
        <v>0</v>
      </c>
    </row>
    <row r="9" spans="1:12" x14ac:dyDescent="0.25">
      <c r="A9" s="25" t="s">
        <v>107</v>
      </c>
      <c r="B9" s="25">
        <f>COUNTIFS(LDP!C:C,MEDIÇÃO!A9)</f>
        <v>0</v>
      </c>
      <c r="C9" s="27">
        <f t="shared" si="0"/>
        <v>0</v>
      </c>
      <c r="D9" s="25">
        <f>COUNTIFS(LDP!C:C,MEDIÇÃO!A9,LDP!I:I,MEDIÇÃO!$D$2)</f>
        <v>0</v>
      </c>
      <c r="E9" s="25">
        <v>0</v>
      </c>
      <c r="F9" s="25">
        <v>0</v>
      </c>
      <c r="G9" s="25">
        <f>COUNTIFS(LDP!C:C,MEDIÇÃO!A9,LDP!I:I,MEDIÇÃO!$G$2)</f>
        <v>0</v>
      </c>
      <c r="H9" s="27">
        <f t="shared" si="4"/>
        <v>0</v>
      </c>
      <c r="I9" s="27">
        <f t="shared" si="1"/>
        <v>0</v>
      </c>
      <c r="J9" s="27">
        <f t="shared" si="2"/>
        <v>0</v>
      </c>
      <c r="K9" s="27">
        <f t="shared" si="3"/>
        <v>0</v>
      </c>
      <c r="L9" s="27">
        <f t="shared" si="5"/>
        <v>0</v>
      </c>
    </row>
    <row r="10" spans="1:12" x14ac:dyDescent="0.25">
      <c r="A10" s="25" t="s">
        <v>111</v>
      </c>
      <c r="B10" s="25">
        <f>COUNTIFS(LDP!C:C,MEDIÇÃO!A10)</f>
        <v>0</v>
      </c>
      <c r="C10" s="27">
        <f t="shared" si="0"/>
        <v>0</v>
      </c>
      <c r="D10" s="25">
        <f>COUNTIFS(LDP!C:C,MEDIÇÃO!A10,LDP!I:I,MEDIÇÃO!$D$2)</f>
        <v>0</v>
      </c>
      <c r="E10" s="25">
        <v>0</v>
      </c>
      <c r="F10" s="25">
        <v>0</v>
      </c>
      <c r="G10" s="25">
        <f>COUNTIFS(LDP!C:C,MEDIÇÃO!A10,LDP!I:I,MEDIÇÃO!$G$2)</f>
        <v>0</v>
      </c>
      <c r="H10" s="27">
        <f t="shared" si="4"/>
        <v>0</v>
      </c>
      <c r="I10" s="27">
        <f t="shared" si="1"/>
        <v>0</v>
      </c>
      <c r="J10" s="27">
        <f t="shared" si="2"/>
        <v>0</v>
      </c>
      <c r="K10" s="27">
        <f t="shared" si="3"/>
        <v>0</v>
      </c>
      <c r="L10" s="27">
        <f t="shared" si="5"/>
        <v>0</v>
      </c>
    </row>
    <row r="11" spans="1:12" x14ac:dyDescent="0.25">
      <c r="A11" s="25" t="s">
        <v>109</v>
      </c>
      <c r="B11" s="25">
        <f>COUNTIFS(LDP!C:C,MEDIÇÃO!A11)</f>
        <v>2</v>
      </c>
      <c r="C11" s="27">
        <f t="shared" si="0"/>
        <v>1957.9903124999998</v>
      </c>
      <c r="D11" s="25">
        <f>COUNTIFS(LDP!C:C,MEDIÇÃO!A11,LDP!I:I,MEDIÇÃO!$D$2)</f>
        <v>2</v>
      </c>
      <c r="E11" s="25">
        <v>0</v>
      </c>
      <c r="F11" s="25">
        <v>0</v>
      </c>
      <c r="G11" s="25">
        <f>COUNTIFS(LDP!C:C,MEDIÇÃO!A11,LDP!I:I,MEDIÇÃO!$G$2)</f>
        <v>0</v>
      </c>
      <c r="H11" s="27">
        <f t="shared" si="4"/>
        <v>1957.9903124999998</v>
      </c>
      <c r="I11" s="27">
        <f t="shared" si="1"/>
        <v>0</v>
      </c>
      <c r="J11" s="27">
        <f t="shared" si="2"/>
        <v>0</v>
      </c>
      <c r="K11" s="27">
        <f t="shared" si="3"/>
        <v>0</v>
      </c>
      <c r="L11" s="27">
        <f t="shared" si="5"/>
        <v>1957.9903124999998</v>
      </c>
    </row>
    <row r="12" spans="1:12" x14ac:dyDescent="0.25">
      <c r="A12" s="25" t="s">
        <v>105</v>
      </c>
      <c r="B12" s="25">
        <f>COUNTIFS(LDP!C:C,MEDIÇÃO!A12)</f>
        <v>21</v>
      </c>
      <c r="C12" s="27">
        <f t="shared" si="0"/>
        <v>20558.89828125</v>
      </c>
      <c r="D12" s="25">
        <f>COUNTIFS(LDP!C:C,MEDIÇÃO!A12,LDP!I:I,MEDIÇÃO!$D$2)</f>
        <v>21</v>
      </c>
      <c r="E12" s="25">
        <v>0</v>
      </c>
      <c r="F12" s="25">
        <v>0</v>
      </c>
      <c r="G12" s="25">
        <f>COUNTIFS(LDP!C:C,MEDIÇÃO!A12,LDP!I:I,MEDIÇÃO!$G$2)</f>
        <v>0</v>
      </c>
      <c r="H12" s="27">
        <f t="shared" si="4"/>
        <v>20558.89828125</v>
      </c>
      <c r="I12" s="27">
        <f t="shared" si="1"/>
        <v>0</v>
      </c>
      <c r="J12" s="27">
        <f t="shared" si="2"/>
        <v>0</v>
      </c>
      <c r="K12" s="27">
        <f t="shared" si="3"/>
        <v>0</v>
      </c>
      <c r="L12" s="27">
        <f t="shared" si="5"/>
        <v>20558.89828125</v>
      </c>
    </row>
    <row r="13" spans="1:12" x14ac:dyDescent="0.25">
      <c r="A13" s="25" t="s">
        <v>108</v>
      </c>
      <c r="B13" s="25">
        <f>COUNTIFS(LDP!C:C,MEDIÇÃO!A13)</f>
        <v>0</v>
      </c>
      <c r="C13" s="27">
        <f t="shared" si="0"/>
        <v>0</v>
      </c>
      <c r="D13" s="25">
        <f>COUNTIFS(LDP!C:C,MEDIÇÃO!A13,LDP!I:I,MEDIÇÃO!$D$2)</f>
        <v>0</v>
      </c>
      <c r="E13" s="25">
        <v>0</v>
      </c>
      <c r="F13" s="25">
        <v>0</v>
      </c>
      <c r="G13" s="25">
        <f>COUNTIFS(LDP!C:C,MEDIÇÃO!A13,LDP!I:I,MEDIÇÃO!$G$2)</f>
        <v>0</v>
      </c>
      <c r="H13" s="27">
        <f t="shared" si="4"/>
        <v>0</v>
      </c>
      <c r="I13" s="27">
        <f t="shared" si="1"/>
        <v>0</v>
      </c>
      <c r="J13" s="27">
        <f t="shared" si="2"/>
        <v>0</v>
      </c>
      <c r="K13" s="27">
        <f t="shared" si="3"/>
        <v>0</v>
      </c>
      <c r="L13" s="27">
        <f>H13+I13+J13</f>
        <v>0</v>
      </c>
    </row>
    <row r="14" spans="1:12" x14ac:dyDescent="0.25">
      <c r="A14" s="26" t="s">
        <v>146</v>
      </c>
      <c r="B14" s="26">
        <v>576</v>
      </c>
      <c r="C14" s="28">
        <f t="shared" ref="C14:L14" si="6">SUM(C3:C13)</f>
        <v>24474.87890625</v>
      </c>
      <c r="D14" s="26">
        <f t="shared" si="6"/>
        <v>25</v>
      </c>
      <c r="E14" s="26">
        <f t="shared" si="6"/>
        <v>0</v>
      </c>
      <c r="F14" s="26">
        <f>SUM(F3:F13)</f>
        <v>0</v>
      </c>
      <c r="G14" s="26">
        <f t="shared" si="6"/>
        <v>0</v>
      </c>
      <c r="H14" s="28">
        <f t="shared" si="6"/>
        <v>24474.87890625</v>
      </c>
      <c r="I14" s="28">
        <f t="shared" si="6"/>
        <v>0</v>
      </c>
      <c r="J14" s="28">
        <f t="shared" si="6"/>
        <v>0</v>
      </c>
      <c r="K14" s="28">
        <f t="shared" si="6"/>
        <v>0</v>
      </c>
      <c r="L14" s="28">
        <f t="shared" si="6"/>
        <v>24474.87890625</v>
      </c>
    </row>
    <row r="15" spans="1:12" x14ac:dyDescent="0.25">
      <c r="G15" s="43"/>
      <c r="H15" s="43"/>
      <c r="I15" s="43"/>
      <c r="K15" s="34" t="s">
        <v>147</v>
      </c>
      <c r="L15" s="28">
        <f>L14</f>
        <v>24474.87890625</v>
      </c>
    </row>
    <row r="16" spans="1:12" x14ac:dyDescent="0.25">
      <c r="A16" s="26" t="s">
        <v>141</v>
      </c>
      <c r="B16" s="26" t="s">
        <v>142</v>
      </c>
      <c r="C16" s="44"/>
      <c r="G16" s="52" t="s">
        <v>143</v>
      </c>
      <c r="H16" s="53"/>
      <c r="K16" s="45" t="s">
        <v>160</v>
      </c>
      <c r="L16" s="46">
        <f>L15*5.76</f>
        <v>140975.30249999999</v>
      </c>
    </row>
    <row r="17" spans="1:12" x14ac:dyDescent="0.25">
      <c r="A17" s="28">
        <v>563901.21</v>
      </c>
      <c r="B17" s="28">
        <f>A17/B14</f>
        <v>978.99515624999992</v>
      </c>
      <c r="G17" s="31" t="s">
        <v>144</v>
      </c>
      <c r="H17" s="32" t="s">
        <v>145</v>
      </c>
    </row>
    <row r="18" spans="1:12" x14ac:dyDescent="0.25">
      <c r="A18" s="29">
        <f>A17*5.76</f>
        <v>3248070.9695999995</v>
      </c>
      <c r="B18" s="30"/>
      <c r="L18" s="47"/>
    </row>
    <row r="19" spans="1:12" x14ac:dyDescent="0.25">
      <c r="G19" s="26" t="s">
        <v>147</v>
      </c>
      <c r="H19" s="26" t="s">
        <v>148</v>
      </c>
    </row>
    <row r="20" spans="1:12" x14ac:dyDescent="0.25">
      <c r="F20" s="26" t="s">
        <v>149</v>
      </c>
      <c r="G20" s="28">
        <f>G21*4</f>
        <v>278000000</v>
      </c>
      <c r="H20" s="33">
        <f>G20*5.76</f>
        <v>1601280000</v>
      </c>
      <c r="L20" s="44"/>
    </row>
    <row r="21" spans="1:12" x14ac:dyDescent="0.25">
      <c r="F21" s="26" t="s">
        <v>150</v>
      </c>
      <c r="G21" s="28">
        <v>69500000</v>
      </c>
      <c r="H21" s="33">
        <f>G21*5.76</f>
        <v>400320000</v>
      </c>
    </row>
    <row r="22" spans="1:12" x14ac:dyDescent="0.25">
      <c r="A22" s="54" t="s">
        <v>161</v>
      </c>
      <c r="B22" s="53"/>
    </row>
    <row r="23" spans="1:12" x14ac:dyDescent="0.25">
      <c r="A23" s="48"/>
      <c r="B23" s="42" t="s">
        <v>162</v>
      </c>
    </row>
    <row r="24" spans="1:12" x14ac:dyDescent="0.25">
      <c r="A24" s="49"/>
      <c r="B24" s="42" t="s">
        <v>163</v>
      </c>
    </row>
    <row r="25" spans="1:12" x14ac:dyDescent="0.25">
      <c r="A25" s="50"/>
      <c r="B25" s="42" t="s">
        <v>164</v>
      </c>
    </row>
    <row r="26" spans="1:12" x14ac:dyDescent="0.25">
      <c r="A26" s="51"/>
      <c r="B26" s="42" t="s">
        <v>165</v>
      </c>
    </row>
  </sheetData>
  <mergeCells count="2">
    <mergeCell ref="G16:H16"/>
    <mergeCell ref="A22:B22"/>
  </mergeCells>
  <conditionalFormatting sqref="A26">
    <cfRule type="expression" dxfId="4" priority="1" stopIfTrue="1">
      <formula>$F26="Não Recebido"</formula>
    </cfRule>
    <cfRule type="expression" dxfId="3" priority="2" stopIfTrue="1">
      <formula>$F26="Reemitir"</formula>
    </cfRule>
    <cfRule type="expression" dxfId="2" priority="3" stopIfTrue="1">
      <formula>$F26="Emitir"</formula>
    </cfRule>
    <cfRule type="expression" dxfId="1" priority="4" stopIfTrue="1">
      <formula>$F26="Emitido"</formula>
    </cfRule>
    <cfRule type="expression" dxfId="0" priority="5" stopIfTrue="1">
      <formula>$F26="Solicitar TP"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LDP</vt:lpstr>
      <vt:lpstr>MEDIÇÃO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ALVES LARANJO</dc:creator>
  <cp:lastModifiedBy>DANIEL ALVES LARANJO</cp:lastModifiedBy>
  <dcterms:created xsi:type="dcterms:W3CDTF">2025-11-13T16:10:57Z</dcterms:created>
  <dcterms:modified xsi:type="dcterms:W3CDTF">2026-01-05T18:02:27Z</dcterms:modified>
</cp:coreProperties>
</file>